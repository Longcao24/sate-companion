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31e21464d224718" /></Relationships>
</file>

<file path=xl/workbook.xml><?xml version="1.0" encoding="utf-8"?>
<x:workbook xmlns:x="http://schemas.openxmlformats.org/spreadsheetml/2006/main">
  <x:sheets>
    <x:sheet xmlns:r="http://schemas.openxmlformats.org/officeDocument/2006/relationships" name="Summary" sheetId="1" r:id="R8b9e6789eebd4894"/>
    <x:sheet xmlns:r="http://schemas.openxmlformats.org/officeDocument/2006/relationships" name="Test Cases" sheetId="2" r:id="Rf1cb1a87403e43c9"/>
    <x:sheet xmlns:r="http://schemas.openxmlformats.org/officeDocument/2006/relationships" name="Requirements" sheetId="3" r:id="R1896c32a9f574692"/>
    <x:sheet xmlns:r="http://schemas.openxmlformats.org/officeDocument/2006/relationships" name="Environment &amp; Test Data" sheetId="4" r:id="R4c9ce5fec0c84ee2"/>
    <x:sheet xmlns:r="http://schemas.openxmlformats.org/officeDocument/2006/relationships" name="Defect Log" sheetId="5" r:id="Rca50ed461f33435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8">
    <x:font>
      <x:sz val="11"/>
      <x:name val="Carlito"/>
    </x:font>
    <x:font>
      <x:b/>
      <x:sz val="18"/>
      <x:color rgb="FFFFFFFF"/>
      <x:name val="Carlito"/>
    </x:font>
    <x:font>
      <x:b/>
      <x:sz val="11"/>
      <x:color rgb="FFFFFFFF"/>
      <x:name val="Carlito"/>
    </x:font>
    <x:font>
      <x:b/>
      <x:sz val="12"/>
      <x:color rgb="FF0B3D40"/>
      <x:name val="Carlito"/>
    </x:font>
    <x:font>
      <x:b/>
      <x:sz val="18"/>
      <x:color rgb="FFFFFFFF"/>
      <x:name val="Aptos"/>
    </x:font>
    <x:font>
      <x:sz val="11"/>
      <x:name val="Aptos"/>
    </x:font>
    <x:font>
      <x:b/>
      <x:sz val="11"/>
      <x:color rgb="FFFFFFFF"/>
      <x:name val="Aptos"/>
    </x:font>
    <x:font>
      <x:b/>
      <x:sz val="12"/>
      <x:color rgb="FF0B3D40"/>
      <x:name val="Aptos"/>
    </x:font>
  </x:fonts>
  <x:fills count="5">
    <x:fill>
      <x:patternFill patternType="none"/>
    </x:fill>
    <x:fill>
      <x:patternFill patternType="gray125"/>
    </x:fill>
    <x:fill>
      <x:patternFill patternType="solid">
        <x:fgColor rgb="FF0B6B6F"/>
      </x:patternFill>
    </x:fill>
    <x:fill>
      <x:patternFill patternType="solid">
        <x:fgColor rgb="FF146C72"/>
      </x:patternFill>
    </x:fill>
    <x:fill>
      <x:patternFill patternType="solid">
        <x:fgColor rgb="FFDDEFF0"/>
      </x:patternFill>
    </x:fill>
  </x:fills>
  <x:borders count="24">
    <x:border/>
    <x:border/>
    <x:border>
      <x:left/>
      <x:top/>
    </x:border>
    <x:border>
      <x:right/>
      <x:top/>
    </x:border>
    <x:border>
      <x:left/>
    </x:border>
    <x:border>
      <x:right/>
    </x:border>
    <x:border>
      <x:left/>
      <x:bottom/>
    </x:border>
    <x:border>
      <x:right/>
      <x:bottom/>
    </x:border>
    <x:border>
      <x:left/>
      <x:top/>
    </x:border>
    <x:border>
      <x:right/>
      <x:top/>
    </x:border>
    <x:border>
      <x:left/>
    </x:border>
    <x:border>
      <x:right/>
    </x:border>
    <x:border>
      <x:left/>
      <x:bottom/>
    </x:border>
    <x:border>
      <x:right/>
      <x:bottom/>
    </x:border>
    <x:border>
      <x:top/>
    </x:border>
    <x:border>
      <x:bottom/>
    </x:border>
    <x:border>
      <x:top/>
    </x:border>
    <x:border>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6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2" fillId="3" borderId="8" xfId="0" applyNumberFormat="1" applyFont="1" applyFill="1" applyBorder="1" applyAlignment="1">
      <x:alignment horizontal="center" vertical="center" wrapText="1"/>
    </x:xf>
    <x:xf numFmtId="0" fontId="2" fillId="3" borderId="9" xfId="0" applyNumberFormat="1" applyFont="1" applyFill="1" applyBorder="1" applyAlignment="1">
      <x:alignment horizontal="center" vertical="center" wrapText="1"/>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2" fillId="3" borderId="14" xfId="0" applyNumberFormat="1" applyFont="1" applyFill="1" applyBorder="1" applyAlignment="1">
      <x:alignment horizontal="center" vertical="center" wrapText="1"/>
    </x:xf>
    <x:xf numFmtId="0" fontId="0" fillId="0" borderId="0" xfId="0" applyNumberFormat="1" applyFont="1" applyFill="1" applyBorder="1"/>
    <x:xf numFmtId="0" fontId="0" fillId="0" borderId="15" xfId="0" applyNumberFormat="1" applyFont="1" applyFill="1" applyBorder="1"/>
    <x:xf numFmtId="0" fontId="2" fillId="3" borderId="16" xfId="0" applyNumberFormat="1" applyFont="1" applyFill="1" applyBorder="1" applyAlignment="1">
      <x:alignment horizontal="center" vertical="center" wrapText="1"/>
    </x:xf>
    <x:xf numFmtId="0" fontId="0" fillId="0" borderId="17" xfId="0" applyNumberFormat="1" applyFont="1" applyFill="1" applyBorder="1"/>
    <x:xf numFmtId="0" fontId="0" fillId="4" borderId="0" xfId="0" applyNumberFormat="1" applyFont="1" applyFill="1" applyBorder="1"/>
    <x:xf numFmtId="0" fontId="0" fillId="4" borderId="4" xfId="0" applyNumberFormat="1" applyFont="1" applyFill="1" applyBorder="1"/>
    <x:xf numFmtId="0" fontId="0" fillId="4" borderId="5" xfId="0" applyNumberFormat="1" applyFont="1" applyFill="1" applyBorder="1"/>
    <x:xf numFmtId="0" fontId="3" fillId="4" borderId="0" xfId="0" applyNumberFormat="1" applyFont="1" applyFill="1" applyBorder="1"/>
    <x:xf numFmtId="0" fontId="3" fillId="4" borderId="4" xfId="0" applyNumberFormat="1" applyFont="1" applyFill="1" applyBorder="1"/>
    <x:xf numFmtId="0" fontId="3" fillId="4" borderId="5" xfId="0" applyNumberFormat="1" applyFont="1" applyFill="1" applyBorder="1"/>
    <x:xf numFmtId="0" fontId="3" fillId="4" borderId="0" xfId="0" applyNumberFormat="1" applyFont="1" applyFill="1" applyBorder="1" applyAlignment="1">
      <x:alignment horizontal="left"/>
    </x:xf>
    <x:xf numFmtId="0" fontId="3" fillId="4" borderId="4" xfId="0" applyNumberFormat="1" applyFont="1" applyFill="1" applyBorder="1" applyAlignment="1">
      <x:alignment horizontal="left"/>
    </x:xf>
    <x:xf numFmtId="0" fontId="3" fillId="4" borderId="5" xfId="0" applyNumberFormat="1" applyFont="1" applyFill="1" applyBorder="1" applyAlignment="1">
      <x:alignment horizontal="left"/>
    </x:xf>
    <x:xf numFmtId="0" fontId="3" fillId="4" borderId="0" xfId="0" applyNumberFormat="1" applyFont="1" applyFill="1" applyBorder="1" applyAlignment="1">
      <x:alignment horizontal="left" vertical="center"/>
    </x:xf>
    <x:xf numFmtId="0" fontId="3" fillId="4" borderId="4" xfId="0" applyNumberFormat="1" applyFont="1" applyFill="1" applyBorder="1" applyAlignment="1">
      <x:alignment horizontal="left" vertical="center"/>
    </x:xf>
    <x:xf numFmtId="0" fontId="3" fillId="4" borderId="5" xfId="0" applyNumberFormat="1" applyFont="1" applyFill="1" applyBorder="1" applyAlignment="1">
      <x:alignment horizontal="left" vertical="center"/>
    </x:xf>
    <x:xf numFmtId="0" fontId="0" fillId="4" borderId="1" xfId="0" applyNumberFormat="1" applyFont="1" applyFill="1" applyBorder="1"/>
    <x:xf numFmtId="0" fontId="0" fillId="4" borderId="10" xfId="0" applyNumberFormat="1" applyFont="1" applyFill="1" applyBorder="1"/>
    <x:xf numFmtId="0" fontId="0" fillId="4" borderId="11" xfId="0" applyNumberFormat="1" applyFont="1" applyFill="1" applyBorder="1"/>
    <x:xf numFmtId="0" fontId="3" fillId="4" borderId="1" xfId="0" applyNumberFormat="1" applyFont="1" applyFill="1" applyBorder="1"/>
    <x:xf numFmtId="0" fontId="3" fillId="4" borderId="10" xfId="0" applyNumberFormat="1" applyFont="1" applyFill="1" applyBorder="1"/>
    <x:xf numFmtId="0" fontId="3" fillId="4" borderId="11" xfId="0" applyNumberFormat="1" applyFont="1" applyFill="1" applyBorder="1"/>
    <x:xf numFmtId="0" fontId="3" fillId="4" borderId="1" xfId="0" applyNumberFormat="1" applyFont="1" applyFill="1" applyBorder="1" applyAlignment="1">
      <x:alignment horizontal="left"/>
    </x:xf>
    <x:xf numFmtId="0" fontId="3" fillId="4" borderId="10" xfId="0" applyNumberFormat="1" applyFont="1" applyFill="1" applyBorder="1" applyAlignment="1">
      <x:alignment horizontal="left"/>
    </x:xf>
    <x:xf numFmtId="0" fontId="3" fillId="4" borderId="11" xfId="0" applyNumberFormat="1" applyFont="1" applyFill="1" applyBorder="1" applyAlignment="1">
      <x:alignment horizontal="left"/>
    </x:xf>
    <x:xf numFmtId="0" fontId="3" fillId="4" borderId="1" xfId="0" applyNumberFormat="1" applyFont="1" applyFill="1" applyBorder="1" applyAlignment="1">
      <x:alignment horizontal="left" vertical="center"/>
    </x:xf>
    <x:xf numFmtId="0" fontId="3" fillId="4" borderId="10" xfId="0" applyNumberFormat="1" applyFont="1" applyFill="1" applyBorder="1" applyAlignment="1">
      <x:alignment horizontal="left" vertical="center"/>
    </x:xf>
    <x:xf numFmtId="0" fontId="3" fillId="4" borderId="11" xfId="0" applyNumberFormat="1" applyFont="1" applyFill="1" applyBorder="1" applyAlignment="1">
      <x:alignment horizontal="left" vertical="center"/>
    </x:xf>
    <x:xf numFmtId="0" fontId="0" fillId="0" borderId="0"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4" fillId="2" borderId="0" xfId="0" applyNumberFormat="1" applyFont="1" applyFill="1" applyBorder="1" applyAlignment="1">
      <x:alignment horizontal="left" vertical="center"/>
    </x:xf>
    <x:xf numFmtId="0" fontId="5" fillId="0" borderId="0" xfId="0" applyNumberFormat="1" applyFont="1" applyFill="1" applyBorder="1"/>
    <x:xf numFmtId="0" fontId="6" fillId="3" borderId="2" xfId="0" applyNumberFormat="1" applyFont="1" applyFill="1" applyBorder="1" applyAlignment="1">
      <x:alignment horizontal="center" vertical="center" wrapText="1"/>
    </x:xf>
    <x:xf numFmtId="0" fontId="6" fillId="3" borderId="3" xfId="0" applyNumberFormat="1" applyFont="1" applyFill="1" applyBorder="1" applyAlignment="1">
      <x:alignment horizontal="center" vertical="center" wrapText="1"/>
    </x:xf>
    <x:xf numFmtId="0" fontId="6" fillId="3" borderId="14" xfId="0" applyNumberFormat="1" applyFont="1" applyFill="1" applyBorder="1" applyAlignment="1">
      <x:alignment horizontal="center" vertical="center" wrapText="1"/>
    </x:xf>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7" fillId="4" borderId="0" xfId="0" applyNumberFormat="1" applyFont="1" applyFill="1" applyBorder="1" applyAlignment="1">
      <x:alignment horizontal="left" vertical="center"/>
    </x:xf>
    <x:xf numFmtId="0" fontId="7" fillId="4" borderId="4" xfId="0" applyNumberFormat="1" applyFont="1" applyFill="1" applyBorder="1" applyAlignment="1">
      <x:alignment horizontal="left" vertical="center"/>
    </x:xf>
    <x:xf numFmtId="0" fontId="7" fillId="4" borderId="5" xfId="0" applyNumberFormat="1" applyFont="1" applyFill="1" applyBorder="1" applyAlignment="1">
      <x:alignment horizontal="left" vertical="center"/>
    </x:xf>
    <x:xf numFmtId="0" fontId="5" fillId="0" borderId="2" xfId="0" applyNumberFormat="1" applyFont="1" applyFill="1" applyBorder="1" applyAlignment="1">
      <x:alignment vertical="top" wrapText="1"/>
    </x:xf>
    <x:xf numFmtId="0" fontId="5" fillId="0" borderId="14"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15"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4" fillId="2" borderId="1" xfId="0" applyNumberFormat="1" applyFont="1" applyFill="1" applyBorder="1" applyAlignment="1">
      <x:alignment horizontal="left" vertical="center"/>
    </x:xf>
    <x:xf numFmtId="0" fontId="5" fillId="0" borderId="1" xfId="0" applyNumberFormat="1" applyFont="1" applyFill="1" applyBorder="1"/>
    <x:xf numFmtId="0" fontId="6" fillId="3" borderId="8" xfId="0" applyNumberFormat="1" applyFont="1" applyFill="1" applyBorder="1" applyAlignment="1">
      <x:alignment horizontal="center" vertical="center" wrapText="1"/>
    </x:xf>
    <x:xf numFmtId="0" fontId="6" fillId="3" borderId="9" xfId="0" applyNumberFormat="1" applyFont="1" applyFill="1" applyBorder="1" applyAlignment="1">
      <x:alignment horizontal="center" vertical="center" wrapText="1"/>
    </x:xf>
    <x:xf numFmtId="0" fontId="6" fillId="3" borderId="16" xfId="0" applyNumberFormat="1" applyFont="1" applyFill="1" applyBorder="1" applyAlignment="1">
      <x:alignment horizontal="center" vertical="center" wrapText="1"/>
    </x:xf>
    <x:xf numFmtId="0" fontId="5" fillId="0" borderId="10" xfId="0" applyNumberFormat="1" applyFont="1" applyFill="1" applyBorder="1"/>
    <x:xf numFmtId="0" fontId="5" fillId="0" borderId="11" xfId="0" applyNumberFormat="1" applyFont="1" applyFill="1" applyBorder="1"/>
    <x:xf numFmtId="0" fontId="5" fillId="0" borderId="12" xfId="0" applyNumberFormat="1" applyFont="1" applyFill="1" applyBorder="1"/>
    <x:xf numFmtId="0" fontId="5" fillId="0" borderId="13" xfId="0" applyNumberFormat="1" applyFont="1" applyFill="1" applyBorder="1"/>
    <x:xf numFmtId="0" fontId="7" fillId="4" borderId="1" xfId="0" applyNumberFormat="1" applyFont="1" applyFill="1" applyBorder="1" applyAlignment="1">
      <x:alignment horizontal="left" vertical="center"/>
    </x:xf>
    <x:xf numFmtId="0" fontId="7" fillId="4" borderId="10" xfId="0" applyNumberFormat="1" applyFont="1" applyFill="1" applyBorder="1" applyAlignment="1">
      <x:alignment horizontal="left" vertical="center"/>
    </x:xf>
    <x:xf numFmtId="0" fontId="7" fillId="4" borderId="11" xfId="0" applyNumberFormat="1" applyFont="1" applyFill="1" applyBorder="1" applyAlignment="1">
      <x:alignment horizontal="left" vertical="center"/>
    </x:xf>
    <x:xf numFmtId="0" fontId="5" fillId="0" borderId="8" xfId="0" applyNumberFormat="1" applyFont="1" applyFill="1" applyBorder="1" applyAlignment="1">
      <x:alignment vertical="top" wrapText="1"/>
    </x:xf>
    <x:xf numFmtId="0" fontId="5" fillId="0" borderId="16"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0" fontId="5" fillId="0" borderId="12" xfId="0" applyNumberFormat="1" applyFont="1" applyFill="1" applyBorder="1" applyAlignment="1">
      <x:alignment vertical="top" wrapText="1"/>
    </x:xf>
    <x:xf numFmtId="0" fontId="5" fillId="0" borderId="17" xfId="0" applyNumberFormat="1" applyFont="1" applyFill="1" applyBorder="1" applyAlignment="1">
      <x:alignment vertical="top" wrapText="1"/>
    </x:xf>
    <x:xf numFmtId="0" fontId="5" fillId="0" borderId="13" xfId="0" applyNumberFormat="1" applyFont="1" applyFill="1" applyBorder="1" applyAlignment="1">
      <x:alignment vertical="top" wrapText="1"/>
    </x:xf>
    <x:xf numFmtId="0" fontId="2" fillId="3" borderId="18" xfId="0" applyNumberFormat="1" applyFont="1" applyFill="1" applyBorder="1" applyAlignment="1">
      <x:alignment horizontal="center" vertical="center" wrapText="1"/>
    </x:xf>
    <x:xf numFmtId="0" fontId="0" fillId="0" borderId="19" xfId="0" applyNumberFormat="1" applyFont="1" applyFill="1" applyBorder="1"/>
    <x:xf numFmtId="0" fontId="0" fillId="0" borderId="20" xfId="0" applyNumberFormat="1" applyFont="1" applyFill="1" applyBorder="1"/>
    <x:xf numFmtId="0" fontId="2" fillId="3" borderId="21" xfId="0" applyNumberFormat="1" applyFont="1" applyFill="1" applyBorder="1" applyAlignment="1">
      <x:alignment horizontal="center" vertical="center" wrapText="1"/>
    </x:xf>
    <x:xf numFmtId="0" fontId="0" fillId="0" borderId="22" xfId="0" applyNumberFormat="1" applyFont="1" applyFill="1" applyBorder="1"/>
    <x:xf numFmtId="0" fontId="0" fillId="0" borderId="23" xfId="0" applyNumberFormat="1" applyFont="1" applyFill="1" applyBorder="1"/>
    <x:xf numFmtId="0" fontId="0" fillId="0" borderId="2" xfId="0" applyNumberFormat="1" applyFont="1" applyFill="1" applyBorder="1"/>
    <x:xf numFmtId="0" fontId="0" fillId="0" borderId="14" xfId="0" applyNumberFormat="1" applyFont="1" applyFill="1" applyBorder="1"/>
    <x:xf numFmtId="0" fontId="0" fillId="0" borderId="3" xfId="0" applyNumberFormat="1" applyFont="1" applyFill="1" applyBorder="1"/>
    <x:xf numFmtId="0" fontId="0" fillId="0" borderId="8" xfId="0" applyNumberFormat="1" applyFont="1" applyFill="1" applyBorder="1"/>
    <x:xf numFmtId="0" fontId="0" fillId="0" borderId="16" xfId="0" applyNumberFormat="1" applyFont="1" applyFill="1" applyBorder="1"/>
    <x:xf numFmtId="0" fontId="0" fillId="0" borderId="9" xfId="0" applyNumberFormat="1" applyFont="1" applyFill="1" applyBorder="1"/>
    <x:xf numFmtId="0" fontId="0" fillId="0" borderId="2"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9" xfId="0" applyNumberFormat="1" applyFont="1" applyFill="1" applyBorder="1" applyAlignment="1">
      <x:alignment wrapText="1"/>
    </x:xf>
    <x:xf numFmtId="200" fontId="0" fillId="0" borderId="14"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5" xfId="0" applyNumberFormat="1" applyFont="1" applyFill="1" applyBorder="1" applyAlignment="1">
      <x:alignment vertical="top" wrapText="1"/>
    </x:xf>
    <x:xf numFmtId="200" fontId="0" fillId="0" borderId="16"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17" xfId="0" applyNumberFormat="1" applyFont="1" applyFill="1" applyBorder="1" applyAlignment="1">
      <x:alignment vertical="top" wrapText="1"/>
    </x:xf>
    <x:xf numFmtId="0" fontId="6" fillId="3" borderId="18" xfId="0" applyNumberFormat="1" applyFont="1" applyFill="1" applyBorder="1" applyAlignment="1">
      <x:alignment horizontal="center" vertical="center" wrapText="1"/>
    </x:xf>
    <x:xf numFmtId="0" fontId="5" fillId="0" borderId="19" xfId="0" applyNumberFormat="1" applyFont="1" applyFill="1" applyBorder="1"/>
    <x:xf numFmtId="0" fontId="5" fillId="0" borderId="20" xfId="0" applyNumberFormat="1" applyFont="1" applyFill="1" applyBorder="1"/>
    <x:xf numFmtId="0" fontId="6" fillId="3" borderId="21" xfId="0" applyNumberFormat="1" applyFont="1" applyFill="1" applyBorder="1" applyAlignment="1">
      <x:alignment horizontal="center" vertical="center" wrapText="1"/>
    </x:xf>
    <x:xf numFmtId="0" fontId="5" fillId="0" borderId="22" xfId="0" applyNumberFormat="1" applyFont="1" applyFill="1" applyBorder="1"/>
    <x:xf numFmtId="0" fontId="5" fillId="0" borderId="23" xfId="0" applyNumberFormat="1" applyFont="1" applyFill="1" applyBorder="1"/>
    <x:xf numFmtId="0" fontId="6" fillId="3" borderId="0" xfId="0" applyNumberFormat="1" applyFont="1" applyFill="1" applyBorder="1" applyAlignment="1">
      <x:alignment horizontal="center" vertical="center" wrapText="1"/>
    </x:xf>
    <x:xf numFmtId="200" fontId="5" fillId="0" borderId="14" xfId="0" applyNumberFormat="1" applyFont="1" applyFill="1" applyBorder="1" applyAlignment="1">
      <x:alignment vertical="top" wrapText="1"/>
    </x:xf>
    <x:xf numFmtId="200" fontId="5" fillId="0" borderId="0" xfId="0" applyNumberFormat="1" applyFont="1" applyFill="1" applyBorder="1" applyAlignment="1">
      <x:alignment vertical="top" wrapText="1"/>
    </x:xf>
    <x:xf numFmtId="200" fontId="5" fillId="0" borderId="15" xfId="0" applyNumberFormat="1" applyFont="1" applyFill="1" applyBorder="1" applyAlignment="1">
      <x:alignment vertical="top" wrapText="1"/>
    </x:xf>
  </x:cellXfs>
  <x:cellStyles count="1">
    <x:cellStyle name="Normal" xfId="0"/>
  </x:cellStyles>
  <x:dxfs count="8">
    <x:dxf>
      <x:font>
        <x:b/>
        <x:color rgb="FF9C0006"/>
      </x:font>
      <x:fill>
        <x:patternFill patternType="solid">
          <x:bgColor rgb="FFFDE2E1"/>
        </x:patternFill>
      </x:fill>
    </x:dxf>
    <x:dxf>
      <x:font>
        <x:b/>
        <x:color rgb="FF7F6000"/>
      </x:font>
      <x:fill>
        <x:patternFill patternType="solid">
          <x:bgColor rgb="FFFFF2CC"/>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9C0006"/>
      </x:font>
      <x:fill>
        <x:patternFill patternType="solid">
          <x:bgColor rgb="FFFDE2E1"/>
        </x:patternFill>
      </x:fill>
    </x:dxf>
    <x:dxf>
      <x:font>
        <x:b/>
        <x:color rgb="FFC65911"/>
      </x:font>
      <x:fill>
        <x:patternFill patternType="solid">
          <x:bgColor rgb="FFFCE4D6"/>
        </x:patternFill>
      </x:fill>
    </x:dxf>
    <x:dxf>
      <x:font>
        <x:b/>
        <x:color rgb="FF1F4E78"/>
      </x:font>
      <x:fill>
        <x:patternFill patternType="solid">
          <x:bgColor rgb="FFDDEBF7"/>
        </x:patternFill>
      </x:fill>
    </x:dxf>
    <x:dxf>
      <x:font>
        <x:b/>
        <x:color rgb="FF595959"/>
      </x:font>
      <x:fill>
        <x:patternFill patternType="solid">
          <x:bgColor rgb="FFE7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68ca0c15457482c" /><Relationship Type="http://schemas.openxmlformats.org/officeDocument/2006/relationships/theme" Target="/xl/theme/theme1.xml" Id="R2bbf8c5752ee47be" /><Relationship Type="http://schemas.openxmlformats.org/officeDocument/2006/relationships/sharedStrings" Target="/xl/sharedStrings.xml" Id="R00691118f0af40be" /><Relationship Type="http://schemas.openxmlformats.org/officeDocument/2006/relationships/worksheet" Target="/xl/worksheets/sheet1.xml" Id="R8b9e6789eebd4894" /><Relationship Type="http://schemas.openxmlformats.org/officeDocument/2006/relationships/worksheet" Target="/xl/worksheets/sheet2.xml" Id="Rf1cb1a87403e43c9" /><Relationship Type="http://schemas.openxmlformats.org/officeDocument/2006/relationships/worksheet" Target="/xl/worksheets/sheet3.xml" Id="R1896c32a9f574692" /><Relationship Type="http://schemas.openxmlformats.org/officeDocument/2006/relationships/worksheet" Target="/xl/worksheets/sheet4.xml" Id="R4c9ce5fec0c84ee2" /><Relationship Type="http://schemas.openxmlformats.org/officeDocument/2006/relationships/worksheet" Target="/xl/worksheets/sheet5.xml" Id="Rca50ed461f334359" /></Relationships>
</file>

<file path=xl/drawings/_rels/drawing1.xml.rels>&#65279;<?xml version="1.0" encoding="utf-8"?><Relationships xmlns="http://schemas.openxmlformats.org/package/2006/relationships"><Relationship Type="http://schemas.openxmlformats.org/officeDocument/2006/relationships/chart" Target="/xl/drawings/charts/chart1.xml" Id="R6baa207d3795495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Test Cases by Category</a:t>
            </a:r>
          </a:p>
        </c:rich>
      </c:tx>
      <c:overlay val="0"/>
    </c:title>
    <c:autoTitleDeleted val="0"/>
    <c:plotArea>
      <c:layout/>
      <c:barChart>
        <c:barDir val="col"/>
        <c:varyColors val="0"/>
        <c:ser>
          <c:idx val="0"/>
          <c:order val="0"/>
          <c:tx>
            <c:v>Total</c:v>
          </c:tx>
          <c:cat>
            <c:strRef>
              <c:f>'Summary'!$D$4:$D$15</c:f>
              <c:strCache>
                <c:ptCount val="0"/>
              </c:strCache>
            </c:strRef>
          </c:cat>
          <c:val>
            <c:numRef>
              <c:f>'Summary'!$E$4:$E$15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2</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baa207d3795495e"/>
        </a:graphicData>
      </a:graphic>
    </xdr:graphicFrame>
    <xdr:clientData/>
  </xdr:twoCellAnchor>
</xdr:wsDr>
</file>

<file path=xl/tables/table1.xml><?xml version="1.0" encoding="utf-8"?>
<x:table xmlns:x="http://schemas.openxmlformats.org/spreadsheetml/2006/main" id="1" name="SATE_Test_Cases" displayName="SATE_Test_Cases" ref="A1:S89" headerRowCount="1">
  <x:tableColumns count="19">
    <x:tableColumn id="1" name="TC ID"/>
    <x:tableColumn id="2" name="Category"/>
    <x:tableColumn id="3" name="Test Case Title"/>
    <x:tableColumn id="4" name="Components"/>
    <x:tableColumn id="5" name="Test Type"/>
    <x:tableColumn id="6" name="Priority"/>
    <x:tableColumn id="7" name="Requirement IDs"/>
    <x:tableColumn id="8" name="Objective"/>
    <x:tableColumn id="9" name="Preconditions"/>
    <x:tableColumn id="10" name="Test Data / Environment"/>
    <x:tableColumn id="11" name="Test Steps"/>
    <x:tableColumn id="12" name="Expected Device / App / Web Result"/>
    <x:tableColumn id="13" name="Expected Backend / Data Result"/>
    <x:tableColumn id="14" name="Data Integrity / Validation"/>
    <x:tableColumn id="15" name="Pass Criteria"/>
    <x:tableColumn id="16" name="Actual Result"/>
    <x:tableColumn id="17" name="Status"/>
    <x:tableColumn id="18" name="Defect ID"/>
    <x:tableColumn id="19" name="Evidence / Notes"/>
  </x:tableColumns>
  <x:tableStyleInfo name="TableStyleMedium2" showRowStripes="1"/>
</x:table>
</file>

<file path=xl/tables/table2.xml><?xml version="1.0" encoding="utf-8"?>
<x:table xmlns:x="http://schemas.openxmlformats.org/spreadsheetml/2006/main" id="2" name="SATE_Requirements" displayName="SATE_Requirements" ref="A1:D23" headerRowCount="1">
  <x:tableColumns count="4">
    <x:tableColumn id="1" name="Requirement ID"/>
    <x:tableColumn id="2" name="Topic"/>
    <x:tableColumn id="3" name="Status"/>
    <x:tableColumn id="4" name="Definition / Decision Needed"/>
  </x:tableColumns>
  <x:tableStyleInfo name="TableStyleMedium2" showRowStripes="1"/>
</x:table>
</file>

<file path=xl/tables/table3.xml><?xml version="1.0" encoding="utf-8"?>
<x:table xmlns:x="http://schemas.openxmlformats.org/spreadsheetml/2006/main" id="3" name="SATE_Test_Environment" displayName="SATE_Test_Environment" ref="A1:C26" headerRowCount="1">
  <x:tableColumns count="3">
    <x:tableColumn id="1" name="Area"/>
    <x:tableColumn id="2" name="Test Item"/>
    <x:tableColumn id="3" name="Recommended Setup / Use"/>
  </x:tableColumns>
  <x:tableStyleInfo name="TableStyleMedium2" showRowStripes="1"/>
</x:table>
</file>

<file path=xl/tables/table4.xml><?xml version="1.0" encoding="utf-8"?>
<x:table xmlns:x="http://schemas.openxmlformats.org/spreadsheetml/2006/main" id="4" name="SATE_Defect_Log" displayName="SATE_Defect_Log" ref="A1:P101" headerRowCount="1">
  <x:tableColumns count="16">
    <x:tableColumn id="1" name="Defect ID"/>
    <x:tableColumn id="2" name="Date Found"/>
    <x:tableColumn id="3" name="Test Case ID"/>
    <x:tableColumn id="4" name="Severity"/>
    <x:tableColumn id="5" name="Status"/>
    <x:tableColumn id="6" name="Component"/>
    <x:tableColumn id="7" name="Summary"/>
    <x:tableColumn id="8" name="Steps to Reproduce"/>
    <x:tableColumn id="9" name="Expected Result"/>
    <x:tableColumn id="10" name="Actual Result"/>
    <x:tableColumn id="11" name="Session ID / Request IDs"/>
    <x:tableColumn id="12" name="Environment"/>
    <x:tableColumn id="13" name="Owner"/>
    <x:tableColumn id="14" name="Target Fix Version"/>
    <x:tableColumn id="15" name="Retest Result"/>
    <x:tableColumn id="16" name="Evidence / Link"/>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6e8614a435649a5" /></Relationships>
</file>

<file path=xl/worksheets/_rels/sheet2.xml.rels>&#65279;<?xml version="1.0" encoding="utf-8"?><Relationships xmlns="http://schemas.openxmlformats.org/package/2006/relationships"><Relationship Type="http://schemas.openxmlformats.org/officeDocument/2006/relationships/table" Target="/xl/tables/table1.xml" Id="R561a5ced4562459d" /></Relationships>
</file>

<file path=xl/worksheets/_rels/sheet3.xml.rels>&#65279;<?xml version="1.0" encoding="utf-8"?><Relationships xmlns="http://schemas.openxmlformats.org/package/2006/relationships"><Relationship Type="http://schemas.openxmlformats.org/officeDocument/2006/relationships/table" Target="/xl/tables/table2.xml" Id="R673f6d3c280d4c98" /></Relationships>
</file>

<file path=xl/worksheets/_rels/sheet4.xml.rels>&#65279;<?xml version="1.0" encoding="utf-8"?><Relationships xmlns="http://schemas.openxmlformats.org/package/2006/relationships"><Relationship Type="http://schemas.openxmlformats.org/officeDocument/2006/relationships/table" Target="/xl/tables/table3.xml" Id="R30de814bc6d64168" /></Relationships>
</file>

<file path=xl/worksheets/_rels/sheet5.xml.rels>&#65279;<?xml version="1.0" encoding="utf-8"?><Relationships xmlns="http://schemas.openxmlformats.org/package/2006/relationships"><Relationship Type="http://schemas.openxmlformats.org/officeDocument/2006/relationships/table" Target="/xl/tables/table4.xml" Id="Rff6dc91972c24df2" /></Relationships>
</file>

<file path=xl/worksheets/sheet1.xml><?xml version="1.0" encoding="utf-8"?>
<x:worksheet xmlns:x="http://schemas.openxmlformats.org/spreadsheetml/2006/main">
  <x:sheetFormatPr defaultRowHeight="15"/>
  <x:cols>
    <x:col min="1" max="1" width="28" hidden="0" customWidth="1"/>
    <x:col min="2" max="2" width="14" hidden="0" customWidth="1"/>
    <x:col min="4" max="4" width="42" hidden="0" customWidth="1"/>
    <x:col min="5" max="5" width="12" hidden="0" customWidth="1"/>
    <x:col min="6" max="6" width="12" hidden="0" customWidth="1"/>
  </x:cols>
  <x:sheetData>
    <x:row r="1" ht="32" customHeight="1">
      <x:c r="A1" s="91" t="str">
        <x:v>SATE System Test Plan and Execution Summary</x:v>
      </x:c>
      <x:c r="B1" s="91"/>
      <x:c r="C1" s="91"/>
      <x:c r="D1" s="91"/>
      <x:c r="E1" s="91"/>
      <x:c r="F1" s="91"/>
      <x:c r="G1" s="91"/>
      <x:c r="H1" s="91"/>
      <x:c r="I1" s="92"/>
      <x:c r="J1" s="92"/>
      <x:c r="K1" s="92"/>
      <x:c r="L1" s="92"/>
      <x:c r="M1" s="92"/>
      <x:c r="N1" s="92"/>
      <x:c r="O1" s="92"/>
      <x:c r="P1" s="92"/>
      <x:c r="Q1" s="92"/>
      <x:c r="R1" s="92"/>
      <x:c r="S1" s="92"/>
      <x:c r="T1" s="92"/>
      <x:c r="U1" s="92"/>
      <x:c r="V1" s="92"/>
      <x:c r="W1" s="92"/>
      <x:c r="X1" s="92"/>
      <x:c r="Y1" s="92"/>
      <x:c r="Z1" s="92"/>
    </x:row>
    <x:row r="2">
      <x:c r="A2" s="92"/>
      <x:c r="B2" s="92"/>
      <x:c r="C2" s="92"/>
      <x:c r="D2" s="92"/>
      <x:c r="E2" s="92"/>
      <x:c r="F2" s="92"/>
      <x:c r="G2" s="92"/>
      <x:c r="H2" s="92"/>
      <x:c r="I2" s="92"/>
      <x:c r="J2" s="92"/>
      <x:c r="K2" s="92"/>
      <x:c r="L2" s="92"/>
      <x:c r="M2" s="92"/>
      <x:c r="N2" s="92"/>
      <x:c r="O2" s="92"/>
      <x:c r="P2" s="92"/>
      <x:c r="Q2" s="92"/>
      <x:c r="R2" s="92"/>
      <x:c r="S2" s="92"/>
      <x:c r="T2" s="92"/>
      <x:c r="U2" s="92"/>
      <x:c r="V2" s="92"/>
      <x:c r="W2" s="92"/>
      <x:c r="X2" s="92"/>
      <x:c r="Y2" s="92"/>
      <x:c r="Z2" s="92"/>
    </x:row>
    <x:row r="3">
      <x:c r="A3" s="93" t="str">
        <x:v>Metric</x:v>
      </x:c>
      <x:c r="B3" s="94" t="str">
        <x:v>Value</x:v>
      </x:c>
      <x:c r="C3" s="92"/>
      <x:c r="D3" s="93" t="str">
        <x:v>Category</x:v>
      </x:c>
      <x:c r="E3" s="95" t="str">
        <x:v>Total</x:v>
      </x:c>
      <x:c r="F3" s="94" t="str">
        <x:v>P0</x:v>
      </x:c>
      <x:c r="G3" s="92"/>
      <x:c r="H3" s="92"/>
      <x:c r="I3" s="92"/>
      <x:c r="J3" s="92"/>
      <x:c r="K3" s="92"/>
      <x:c r="L3" s="92"/>
      <x:c r="M3" s="92"/>
      <x:c r="N3" s="92"/>
      <x:c r="O3" s="92"/>
      <x:c r="P3" s="92"/>
      <x:c r="Q3" s="92"/>
      <x:c r="R3" s="92"/>
      <x:c r="S3" s="92"/>
      <x:c r="T3" s="92"/>
      <x:c r="U3" s="92"/>
      <x:c r="V3" s="92"/>
      <x:c r="W3" s="92"/>
      <x:c r="X3" s="92"/>
      <x:c r="Y3" s="92"/>
      <x:c r="Z3" s="92"/>
    </x:row>
    <x:row r="4">
      <x:c r="A4" s="96" t="str">
        <x:v>Total Test Cases</x:v>
      </x:c>
      <x:c r="B4" s="97" t="n">
        <x:f>COUNTA('Test Cases'!A2:A200)</x:f>
        <x:v>88</x:v>
      </x:c>
      <x:c r="C4" s="92"/>
      <x:c r="D4" s="96" t="str">
        <x:v>End-to-End Recording and Sync</x:v>
      </x:c>
      <x:c r="E4" s="92" t="n">
        <x:f>COUNTIF('Test Cases'!B:B,D4)</x:f>
        <x:v>6</x:v>
      </x:c>
      <x:c r="F4" s="97" t="n">
        <x:f>COUNTIFS('Test Cases'!B:B,D4,'Test Cases'!F:F,"P0")</x:f>
        <x:v>3</x:v>
      </x:c>
      <x:c r="G4" s="92"/>
      <x:c r="H4" s="92"/>
      <x:c r="I4" s="92"/>
      <x:c r="J4" s="92"/>
      <x:c r="K4" s="92"/>
      <x:c r="L4" s="92"/>
      <x:c r="M4" s="92"/>
      <x:c r="N4" s="92"/>
      <x:c r="O4" s="92"/>
      <x:c r="P4" s="92"/>
      <x:c r="Q4" s="92"/>
      <x:c r="R4" s="92"/>
      <x:c r="S4" s="92"/>
      <x:c r="T4" s="92"/>
      <x:c r="U4" s="92"/>
      <x:c r="V4" s="92"/>
      <x:c r="W4" s="92"/>
      <x:c r="X4" s="92"/>
      <x:c r="Y4" s="92"/>
      <x:c r="Z4" s="92"/>
    </x:row>
    <x:row r="5">
      <x:c r="A5" s="96" t="str">
        <x:v>P0 Cases</x:v>
      </x:c>
      <x:c r="B5" s="97" t="n">
        <x:f>COUNTIF('Test Cases'!F:F,"P0")</x:f>
        <x:v>65</x:v>
      </x:c>
      <x:c r="C5" s="92"/>
      <x:c r="D5" s="96" t="str">
        <x:v>Recorder Interruption and Local Persistence</x:v>
      </x:c>
      <x:c r="E5" s="92" t="n">
        <x:f>COUNTIF('Test Cases'!B:B,D5)</x:f>
        <x:v>7</x:v>
      </x:c>
      <x:c r="F5" s="97" t="n">
        <x:f>COUNTIFS('Test Cases'!B:B,D5,'Test Cases'!F:F,"P0")</x:f>
        <x:v>7</x:v>
      </x:c>
      <x:c r="G5" s="92"/>
      <x:c r="H5" s="92"/>
      <x:c r="I5" s="92"/>
      <x:c r="J5" s="92"/>
      <x:c r="K5" s="92"/>
      <x:c r="L5" s="92"/>
      <x:c r="M5" s="92"/>
      <x:c r="N5" s="92"/>
      <x:c r="O5" s="92"/>
      <x:c r="P5" s="92"/>
      <x:c r="Q5" s="92"/>
      <x:c r="R5" s="92"/>
      <x:c r="S5" s="92"/>
      <x:c r="T5" s="92"/>
      <x:c r="U5" s="92"/>
      <x:c r="V5" s="92"/>
      <x:c r="W5" s="92"/>
      <x:c r="X5" s="92"/>
      <x:c r="Y5" s="92"/>
      <x:c r="Z5" s="92"/>
    </x:row>
    <x:row r="6">
      <x:c r="A6" s="96" t="str">
        <x:v>P1 Cases</x:v>
      </x:c>
      <x:c r="B6" s="97" t="n">
        <x:f>COUNTIF('Test Cases'!F:F,"P1")</x:f>
        <x:v>22</x:v>
      </x:c>
      <x:c r="C6" s="92"/>
      <x:c r="D6" s="96" t="str">
        <x:v>Network, Offline, and Upload Recovery</x:v>
      </x:c>
      <x:c r="E6" s="92" t="n">
        <x:f>COUNTIF('Test Cases'!B:B,D6)</x:f>
        <x:v>10</x:v>
      </x:c>
      <x:c r="F6" s="97" t="n">
        <x:f>COUNTIFS('Test Cases'!B:B,D6,'Test Cases'!F:F,"P0")</x:f>
        <x:v>6</x:v>
      </x:c>
      <x:c r="G6" s="92"/>
      <x:c r="H6" s="92"/>
      <x:c r="I6" s="92"/>
      <x:c r="J6" s="92"/>
      <x:c r="K6" s="92"/>
      <x:c r="L6" s="92"/>
      <x:c r="M6" s="92"/>
      <x:c r="N6" s="92"/>
      <x:c r="O6" s="92"/>
      <x:c r="P6" s="92"/>
      <x:c r="Q6" s="92"/>
      <x:c r="R6" s="92"/>
      <x:c r="S6" s="92"/>
      <x:c r="T6" s="92"/>
      <x:c r="U6" s="92"/>
      <x:c r="V6" s="92"/>
      <x:c r="W6" s="92"/>
      <x:c r="X6" s="92"/>
      <x:c r="Y6" s="92"/>
      <x:c r="Z6" s="92"/>
    </x:row>
    <x:row r="7">
      <x:c r="A7" s="96" t="str">
        <x:v>P2 Cases</x:v>
      </x:c>
      <x:c r="B7" s="97" t="n">
        <x:f>COUNTIF('Test Cases'!F:F,"P2")</x:f>
        <x:v>1</x:v>
      </x:c>
      <x:c r="C7" s="92"/>
      <x:c r="D7" s="96" t="str">
        <x:v>Queue, Batch, and Concurrency</x:v>
      </x:c>
      <x:c r="E7" s="92" t="n">
        <x:f>COUNTIF('Test Cases'!B:B,D7)</x:f>
        <x:v>6</x:v>
      </x:c>
      <x:c r="F7" s="97" t="n">
        <x:f>COUNTIFS('Test Cases'!B:B,D7,'Test Cases'!F:F,"P0")</x:f>
        <x:v>6</x:v>
      </x:c>
      <x:c r="G7" s="92"/>
      <x:c r="H7" s="92"/>
      <x:c r="I7" s="92"/>
      <x:c r="J7" s="92"/>
      <x:c r="K7" s="92"/>
      <x:c r="L7" s="92"/>
      <x:c r="M7" s="92"/>
      <x:c r="N7" s="92"/>
      <x:c r="O7" s="92"/>
      <x:c r="P7" s="92"/>
      <x:c r="Q7" s="92"/>
      <x:c r="R7" s="92"/>
      <x:c r="S7" s="92"/>
      <x:c r="T7" s="92"/>
      <x:c r="U7" s="92"/>
      <x:c r="V7" s="92"/>
      <x:c r="W7" s="92"/>
      <x:c r="X7" s="92"/>
      <x:c r="Y7" s="92"/>
      <x:c r="Z7" s="92"/>
    </x:row>
    <x:row r="8">
      <x:c r="A8" s="96" t="str">
        <x:v>Not Run</x:v>
      </x:c>
      <x:c r="B8" s="97" t="n">
        <x:f>COUNTIF('Test Cases'!Q:Q,"Not Run")</x:f>
        <x:v>88</x:v>
      </x:c>
      <x:c r="C8" s="92"/>
      <x:c r="D8" s="96" t="str">
        <x:v>Long Session and Performance</x:v>
      </x:c>
      <x:c r="E8" s="92" t="n">
        <x:f>COUNTIF('Test Cases'!B:B,D8)</x:f>
        <x:v>6</x:v>
      </x:c>
      <x:c r="F8" s="97" t="n">
        <x:f>COUNTIFS('Test Cases'!B:B,D8,'Test Cases'!F:F,"P0")</x:f>
        <x:v>5</x:v>
      </x:c>
      <x:c r="G8" s="92"/>
      <x:c r="H8" s="92"/>
      <x:c r="I8" s="92"/>
      <x:c r="J8" s="92"/>
      <x:c r="K8" s="92"/>
      <x:c r="L8" s="92"/>
      <x:c r="M8" s="92"/>
      <x:c r="N8" s="92"/>
      <x:c r="O8" s="92"/>
      <x:c r="P8" s="92"/>
      <x:c r="Q8" s="92"/>
      <x:c r="R8" s="92"/>
      <x:c r="S8" s="92"/>
      <x:c r="T8" s="92"/>
      <x:c r="U8" s="92"/>
      <x:c r="V8" s="92"/>
      <x:c r="W8" s="92"/>
      <x:c r="X8" s="92"/>
      <x:c r="Y8" s="92"/>
      <x:c r="Z8" s="92"/>
    </x:row>
    <x:row r="9">
      <x:c r="A9" s="96" t="str">
        <x:v>Passed</x:v>
      </x:c>
      <x:c r="B9" s="97" t="n">
        <x:f>COUNTIF('Test Cases'!Q:Q,"Pass")</x:f>
        <x:v>0</x:v>
      </x:c>
      <x:c r="C9" s="92"/>
      <x:c r="D9" s="96" t="str">
        <x:v>BLE and Device Connectivity</x:v>
      </x:c>
      <x:c r="E9" s="92" t="n">
        <x:f>COUNTIF('Test Cases'!B:B,D9)</x:f>
        <x:v>8</x:v>
      </x:c>
      <x:c r="F9" s="97" t="n">
        <x:f>COUNTIFS('Test Cases'!B:B,D9,'Test Cases'!F:F,"P0")</x:f>
        <x:v>4</x:v>
      </x:c>
      <x:c r="G9" s="92"/>
      <x:c r="H9" s="92"/>
      <x:c r="I9" s="92"/>
      <x:c r="J9" s="92"/>
      <x:c r="K9" s="92"/>
      <x:c r="L9" s="92"/>
      <x:c r="M9" s="92"/>
      <x:c r="N9" s="92"/>
      <x:c r="O9" s="92"/>
      <x:c r="P9" s="92"/>
      <x:c r="Q9" s="92"/>
      <x:c r="R9" s="92"/>
      <x:c r="S9" s="92"/>
      <x:c r="T9" s="92"/>
      <x:c r="U9" s="92"/>
      <x:c r="V9" s="92"/>
      <x:c r="W9" s="92"/>
      <x:c r="X9" s="92"/>
      <x:c r="Y9" s="92"/>
      <x:c r="Z9" s="92"/>
    </x:row>
    <x:row r="10">
      <x:c r="A10" s="98" t="str">
        <x:v>Failed</x:v>
      </x:c>
      <x:c r="B10" s="99" t="n">
        <x:f>COUNTIF('Test Cases'!Q:Q,"Fail")</x:f>
        <x:v>0</x:v>
      </x:c>
      <x:c r="C10" s="92"/>
      <x:c r="D10" s="96" t="str">
        <x:v>Mobile App Lifecycle and Authentication</x:v>
      </x:c>
      <x:c r="E10" s="92" t="n">
        <x:f>COUNTIF('Test Cases'!B:B,D10)</x:f>
        <x:v>8</x:v>
      </x:c>
      <x:c r="F10" s="97" t="n">
        <x:f>COUNTIFS('Test Cases'!B:B,D10,'Test Cases'!F:F,"P0")</x:f>
        <x:v>7</x:v>
      </x:c>
      <x:c r="G10" s="92"/>
      <x:c r="H10" s="92"/>
      <x:c r="I10" s="92"/>
      <x:c r="J10" s="92"/>
      <x:c r="K10" s="92"/>
      <x:c r="L10" s="92"/>
      <x:c r="M10" s="92"/>
      <x:c r="N10" s="92"/>
      <x:c r="O10" s="92"/>
      <x:c r="P10" s="92"/>
      <x:c r="Q10" s="92"/>
      <x:c r="R10" s="92"/>
      <x:c r="S10" s="92"/>
      <x:c r="T10" s="92"/>
      <x:c r="U10" s="92"/>
      <x:c r="V10" s="92"/>
      <x:c r="W10" s="92"/>
      <x:c r="X10" s="92"/>
      <x:c r="Y10" s="92"/>
      <x:c r="Z10" s="92"/>
    </x:row>
    <x:row r="11">
      <x:c r="A11" s="92"/>
      <x:c r="B11" s="92"/>
      <x:c r="C11" s="92"/>
      <x:c r="D11" s="96" t="str">
        <x:v>Backend, Retry, and AI Processing</x:v>
      </x:c>
      <x:c r="E11" s="92" t="n">
        <x:f>COUNTIF('Test Cases'!B:B,D11)</x:f>
        <x:v>12</x:v>
      </x:c>
      <x:c r="F11" s="97" t="n">
        <x:f>COUNTIFS('Test Cases'!B:B,D11,'Test Cases'!F:F,"P0")</x:f>
        <x:v>12</x:v>
      </x:c>
      <x:c r="G11" s="92"/>
      <x:c r="H11" s="92"/>
      <x:c r="I11" s="92"/>
      <x:c r="J11" s="92"/>
      <x:c r="K11" s="92"/>
      <x:c r="L11" s="92"/>
      <x:c r="M11" s="92"/>
      <x:c r="N11" s="92"/>
      <x:c r="O11" s="92"/>
      <x:c r="P11" s="92"/>
      <x:c r="Q11" s="92"/>
      <x:c r="R11" s="92"/>
      <x:c r="S11" s="92"/>
      <x:c r="T11" s="92"/>
      <x:c r="U11" s="92"/>
      <x:c r="V11" s="92"/>
      <x:c r="W11" s="92"/>
      <x:c r="X11" s="92"/>
      <x:c r="Y11" s="92"/>
      <x:c r="Z11" s="92"/>
    </x:row>
    <x:row r="12">
      <x:c r="A12" s="100" t="str">
        <x:v>Execution Notes</x:v>
      </x:c>
      <x:c r="B12" s="100"/>
      <x:c r="C12" s="100"/>
      <x:c r="D12" s="101" t="str">
        <x:v>Web Transcript Review</x:v>
      </x:c>
      <x:c r="E12" s="100" t="n">
        <x:f>COUNTIF('Test Cases'!B:B,D12)</x:f>
        <x:v>7</x:v>
      </x:c>
      <x:c r="F12" s="102" t="n">
        <x:f>COUNTIFS('Test Cases'!B:B,D12,'Test Cases'!F:F,"P0")</x:f>
        <x:v>5</x:v>
      </x:c>
      <x:c r="G12" s="100"/>
      <x:c r="H12" s="100"/>
      <x:c r="I12" s="92"/>
      <x:c r="J12" s="92"/>
      <x:c r="K12" s="92"/>
      <x:c r="L12" s="92"/>
      <x:c r="M12" s="92"/>
      <x:c r="N12" s="92"/>
      <x:c r="O12" s="92"/>
      <x:c r="P12" s="92"/>
      <x:c r="Q12" s="92"/>
      <x:c r="R12" s="92"/>
      <x:c r="S12" s="92"/>
      <x:c r="T12" s="92"/>
      <x:c r="U12" s="92"/>
      <x:c r="V12" s="92"/>
      <x:c r="W12" s="92"/>
      <x:c r="X12" s="92"/>
      <x:c r="Y12" s="92"/>
      <x:c r="Z12" s="92"/>
    </x:row>
    <x:row r="13" ht="28" customHeight="1">
      <x:c r="A13" s="103" t="str">
        <x:v>Recommended use: confirm the Requirements sheet first, then execute P0 cases before P1/P2. For every failed P0 case, preserve the session ID, device/app versions, timestamps, screenshots or screen recording, local and server audio duration/file size, Supabase records, Edge/Cloudflare/AI request IDs, logs, transcript screenshot, and exported PDF when applicable.</x:v>
      </x:c>
      <x:c r="B13" s="104"/>
      <x:c r="C13" s="104"/>
      <x:c r="D13" s="103" t="str">
        <x:v>PDF Export</x:v>
      </x:c>
      <x:c r="E13" s="104" t="n">
        <x:f>COUNTIF('Test Cases'!B:B,D13)</x:f>
        <x:v>6</x:v>
      </x:c>
      <x:c r="F13" s="105" t="n">
        <x:f>COUNTIFS('Test Cases'!B:B,D13,'Test Cases'!F:F,"P0")</x:f>
        <x:v>3</x:v>
      </x:c>
      <x:c r="G13" s="104"/>
      <x:c r="H13" s="105"/>
      <x:c r="I13" s="92"/>
      <x:c r="J13" s="92"/>
      <x:c r="K13" s="92"/>
      <x:c r="L13" s="92"/>
      <x:c r="M13" s="92"/>
      <x:c r="N13" s="92"/>
      <x:c r="O13" s="92"/>
      <x:c r="P13" s="92"/>
      <x:c r="Q13" s="92"/>
      <x:c r="R13" s="92"/>
      <x:c r="S13" s="92"/>
      <x:c r="T13" s="92"/>
      <x:c r="U13" s="92"/>
      <x:c r="V13" s="92"/>
      <x:c r="W13" s="92"/>
      <x:c r="X13" s="92"/>
      <x:c r="Y13" s="92"/>
      <x:c r="Z13" s="92"/>
    </x:row>
    <x:row r="14" ht="28" customHeight="1">
      <x:c r="A14" s="106"/>
      <x:c r="B14" s="107"/>
      <x:c r="C14" s="107"/>
      <x:c r="D14" s="106" t="str">
        <x:v>Security, Privacy, and Data Isolation</x:v>
      </x:c>
      <x:c r="E14" s="107" t="n">
        <x:f>COUNTIF('Test Cases'!B:B,D14)</x:f>
        <x:v>7</x:v>
      </x:c>
      <x:c r="F14" s="108" t="n">
        <x:f>COUNTIFS('Test Cases'!B:B,D14,'Test Cases'!F:F,"P0")</x:f>
        <x:v>7</x:v>
      </x:c>
      <x:c r="G14" s="107"/>
      <x:c r="H14" s="108"/>
      <x:c r="I14" s="92"/>
      <x:c r="J14" s="92"/>
      <x:c r="K14" s="92"/>
      <x:c r="L14" s="92"/>
      <x:c r="M14" s="92"/>
      <x:c r="N14" s="92"/>
      <x:c r="O14" s="92"/>
      <x:c r="P14" s="92"/>
      <x:c r="Q14" s="92"/>
      <x:c r="R14" s="92"/>
      <x:c r="S14" s="92"/>
      <x:c r="T14" s="92"/>
      <x:c r="U14" s="92"/>
      <x:c r="V14" s="92"/>
      <x:c r="W14" s="92"/>
      <x:c r="X14" s="92"/>
      <x:c r="Y14" s="92"/>
      <x:c r="Z14" s="92"/>
    </x:row>
    <x:row r="15" ht="28" customHeight="1">
      <x:c r="A15" s="106"/>
      <x:c r="B15" s="107"/>
      <x:c r="C15" s="107"/>
      <x:c r="D15" s="109" t="str">
        <x:v>Compatibility and Deployment</x:v>
      </x:c>
      <x:c r="E15" s="110" t="n">
        <x:f>COUNTIF('Test Cases'!B:B,D15)</x:f>
        <x:v>5</x:v>
      </x:c>
      <x:c r="F15" s="111" t="n">
        <x:f>COUNTIFS('Test Cases'!B:B,D15,'Test Cases'!F:F,"P0")</x:f>
        <x:v>0</x:v>
      </x:c>
      <x:c r="G15" s="107"/>
      <x:c r="H15" s="108"/>
      <x:c r="I15" s="92"/>
      <x:c r="J15" s="92"/>
      <x:c r="K15" s="92"/>
      <x:c r="L15" s="92"/>
      <x:c r="M15" s="92"/>
      <x:c r="N15" s="92"/>
      <x:c r="O15" s="92"/>
      <x:c r="P15" s="92"/>
      <x:c r="Q15" s="92"/>
      <x:c r="R15" s="92"/>
      <x:c r="S15" s="92"/>
      <x:c r="T15" s="92"/>
      <x:c r="U15" s="92"/>
      <x:c r="V15" s="92"/>
      <x:c r="W15" s="92"/>
      <x:c r="X15" s="92"/>
      <x:c r="Y15" s="92"/>
      <x:c r="Z15" s="92"/>
    </x:row>
    <x:row r="16" ht="28" customHeight="1">
      <x:c r="A16" s="109"/>
      <x:c r="B16" s="110"/>
      <x:c r="C16" s="110"/>
      <x:c r="D16" s="110"/>
      <x:c r="E16" s="110"/>
      <x:c r="F16" s="110"/>
      <x:c r="G16" s="110"/>
      <x:c r="H16" s="111"/>
      <x:c r="I16" s="92"/>
      <x:c r="J16" s="92"/>
      <x:c r="K16" s="92"/>
      <x:c r="L16" s="92"/>
      <x:c r="M16" s="92"/>
      <x:c r="N16" s="92"/>
      <x:c r="O16" s="92"/>
      <x:c r="P16" s="92"/>
      <x:c r="Q16" s="92"/>
      <x:c r="R16" s="92"/>
      <x:c r="S16" s="92"/>
      <x:c r="T16" s="92"/>
      <x:c r="U16" s="92"/>
      <x:c r="V16" s="92"/>
      <x:c r="W16" s="92"/>
      <x:c r="X16" s="92"/>
      <x:c r="Y16" s="92"/>
      <x:c r="Z16" s="92"/>
    </x:row>
    <x:row r="17">
      <x:c r="A17" s="92"/>
      <x:c r="B17" s="92"/>
      <x:c r="C17" s="92"/>
      <x:c r="D17" s="92"/>
      <x:c r="E17" s="92"/>
      <x:c r="F17" s="92"/>
      <x:c r="G17" s="92"/>
      <x:c r="H17" s="92"/>
      <x:c r="I17" s="92"/>
      <x:c r="J17" s="92"/>
      <x:c r="K17" s="92"/>
      <x:c r="L17" s="92"/>
      <x:c r="M17" s="92"/>
      <x:c r="N17" s="92"/>
      <x:c r="O17" s="92"/>
      <x:c r="P17" s="92"/>
      <x:c r="Q17" s="92"/>
      <x:c r="R17" s="92"/>
      <x:c r="S17" s="92"/>
      <x:c r="T17" s="92"/>
      <x:c r="U17" s="92"/>
      <x:c r="V17" s="92"/>
      <x:c r="W17" s="92"/>
      <x:c r="X17" s="92"/>
      <x:c r="Y17" s="92"/>
      <x:c r="Z17" s="92"/>
    </x:row>
    <x:row r="18">
      <x:c r="A18" s="92"/>
      <x:c r="B18" s="92"/>
      <x:c r="C18" s="92"/>
      <x:c r="D18" s="92"/>
      <x:c r="E18" s="92"/>
      <x:c r="F18" s="92"/>
      <x:c r="G18" s="92"/>
      <x:c r="H18" s="92"/>
      <x:c r="I18" s="92"/>
      <x:c r="J18" s="92"/>
      <x:c r="K18" s="92"/>
      <x:c r="L18" s="92"/>
      <x:c r="M18" s="92"/>
      <x:c r="N18" s="92"/>
      <x:c r="O18" s="92"/>
      <x:c r="P18" s="92"/>
      <x:c r="Q18" s="92"/>
      <x:c r="R18" s="92"/>
      <x:c r="S18" s="92"/>
      <x:c r="T18" s="92"/>
      <x:c r="U18" s="92"/>
      <x:c r="V18" s="92"/>
      <x:c r="W18" s="92"/>
      <x:c r="X18" s="92"/>
      <x:c r="Y18" s="92"/>
      <x:c r="Z18" s="92"/>
    </x:row>
    <x:row r="19">
      <x:c r="A19" s="92"/>
      <x:c r="B19" s="92"/>
      <x:c r="C19" s="92"/>
      <x:c r="D19" s="92"/>
      <x:c r="E19" s="92"/>
      <x:c r="F19" s="92"/>
      <x:c r="G19" s="92"/>
      <x:c r="H19" s="92"/>
      <x:c r="I19" s="92"/>
      <x:c r="J19" s="92"/>
      <x:c r="K19" s="92"/>
      <x:c r="L19" s="92"/>
      <x:c r="M19" s="92"/>
      <x:c r="N19" s="92"/>
      <x:c r="O19" s="92"/>
      <x:c r="P19" s="92"/>
      <x:c r="Q19" s="92"/>
      <x:c r="R19" s="92"/>
      <x:c r="S19" s="92"/>
      <x:c r="T19" s="92"/>
      <x:c r="U19" s="92"/>
      <x:c r="V19" s="92"/>
      <x:c r="W19" s="92"/>
      <x:c r="X19" s="92"/>
      <x:c r="Y19" s="92"/>
      <x:c r="Z19" s="92"/>
    </x:row>
    <x:row r="20">
      <x:c r="A20" s="92"/>
      <x:c r="B20" s="92"/>
      <x:c r="C20" s="92"/>
      <x:c r="D20" s="92"/>
      <x:c r="E20" s="92"/>
      <x:c r="F20" s="92"/>
      <x:c r="G20" s="92"/>
      <x:c r="H20" s="92"/>
      <x:c r="I20" s="92"/>
      <x:c r="J20" s="92"/>
      <x:c r="K20" s="92"/>
      <x:c r="L20" s="92"/>
      <x:c r="M20" s="92"/>
      <x:c r="N20" s="92"/>
      <x:c r="O20" s="92"/>
      <x:c r="P20" s="92"/>
      <x:c r="Q20" s="92"/>
      <x:c r="R20" s="92"/>
      <x:c r="S20" s="92"/>
      <x:c r="T20" s="92"/>
      <x:c r="U20" s="92"/>
      <x:c r="V20" s="92"/>
      <x:c r="W20" s="92"/>
      <x:c r="X20" s="92"/>
      <x:c r="Y20" s="92"/>
      <x:c r="Z20" s="92"/>
    </x:row>
    <x:row r="21">
      <x:c r="A21" s="92"/>
      <x:c r="B21" s="92"/>
      <x:c r="C21" s="92"/>
      <x:c r="D21" s="92"/>
      <x:c r="E21" s="92"/>
      <x:c r="F21" s="92"/>
      <x:c r="G21" s="92"/>
      <x:c r="H21" s="92"/>
      <x:c r="I21" s="92"/>
      <x:c r="J21" s="92"/>
      <x:c r="K21" s="92"/>
      <x:c r="L21" s="92"/>
      <x:c r="M21" s="92"/>
      <x:c r="N21" s="92"/>
      <x:c r="O21" s="92"/>
      <x:c r="P21" s="92"/>
      <x:c r="Q21" s="92"/>
      <x:c r="R21" s="92"/>
      <x:c r="S21" s="92"/>
      <x:c r="T21" s="92"/>
      <x:c r="U21" s="92"/>
      <x:c r="V21" s="92"/>
      <x:c r="W21" s="92"/>
      <x:c r="X21" s="92"/>
      <x:c r="Y21" s="92"/>
      <x:c r="Z21" s="92"/>
    </x:row>
    <x:row r="22">
      <x:c r="A22" s="92"/>
      <x:c r="B22" s="92"/>
      <x:c r="C22" s="92"/>
      <x:c r="D22" s="92"/>
      <x:c r="E22" s="92"/>
      <x:c r="F22" s="92"/>
      <x:c r="G22" s="92"/>
      <x:c r="H22" s="92"/>
      <x:c r="I22" s="92"/>
      <x:c r="J22" s="92"/>
      <x:c r="K22" s="92"/>
      <x:c r="L22" s="92"/>
      <x:c r="M22" s="92"/>
      <x:c r="N22" s="92"/>
      <x:c r="O22" s="92"/>
      <x:c r="P22" s="92"/>
      <x:c r="Q22" s="92"/>
      <x:c r="R22" s="92"/>
      <x:c r="S22" s="92"/>
      <x:c r="T22" s="92"/>
      <x:c r="U22" s="92"/>
      <x:c r="V22" s="92"/>
      <x:c r="W22" s="92"/>
      <x:c r="X22" s="92"/>
      <x:c r="Y22" s="92"/>
      <x:c r="Z22" s="92"/>
    </x:row>
    <x:row r="23">
      <x:c r="A23" s="92"/>
      <x:c r="B23" s="92"/>
      <x:c r="C23" s="92"/>
      <x:c r="D23" s="92"/>
      <x:c r="E23" s="92"/>
      <x:c r="F23" s="92"/>
      <x:c r="G23" s="92"/>
      <x:c r="H23" s="92"/>
      <x:c r="I23" s="92"/>
      <x:c r="J23" s="92"/>
      <x:c r="K23" s="92"/>
      <x:c r="L23" s="92"/>
      <x:c r="M23" s="92"/>
      <x:c r="N23" s="92"/>
      <x:c r="O23" s="92"/>
      <x:c r="P23" s="92"/>
      <x:c r="Q23" s="92"/>
      <x:c r="R23" s="92"/>
      <x:c r="S23" s="92"/>
      <x:c r="T23" s="92"/>
      <x:c r="U23" s="92"/>
      <x:c r="V23" s="92"/>
      <x:c r="W23" s="92"/>
      <x:c r="X23" s="92"/>
      <x:c r="Y23" s="92"/>
      <x:c r="Z23" s="92"/>
    </x:row>
    <x:row r="24">
      <x:c r="A24" s="92"/>
      <x:c r="B24" s="92"/>
      <x:c r="C24" s="92"/>
      <x:c r="D24" s="92"/>
      <x:c r="E24" s="92"/>
      <x:c r="F24" s="92"/>
      <x:c r="G24" s="92"/>
      <x:c r="H24" s="92"/>
      <x:c r="I24" s="92"/>
      <x:c r="J24" s="92"/>
      <x:c r="K24" s="92"/>
      <x:c r="L24" s="92"/>
      <x:c r="M24" s="92"/>
      <x:c r="N24" s="92"/>
      <x:c r="O24" s="92"/>
      <x:c r="P24" s="92"/>
      <x:c r="Q24" s="92"/>
      <x:c r="R24" s="92"/>
      <x:c r="S24" s="92"/>
      <x:c r="T24" s="92"/>
      <x:c r="U24" s="92"/>
      <x:c r="V24" s="92"/>
      <x:c r="W24" s="92"/>
      <x:c r="X24" s="92"/>
      <x:c r="Y24" s="92"/>
      <x:c r="Z24" s="92"/>
    </x:row>
    <x:row r="25">
      <x:c r="A25" s="92"/>
      <x:c r="B25" s="92"/>
      <x:c r="C25" s="92"/>
      <x:c r="D25" s="92"/>
      <x:c r="E25" s="92"/>
      <x:c r="F25" s="92"/>
      <x:c r="G25" s="92"/>
      <x:c r="H25" s="92"/>
      <x:c r="I25" s="92"/>
      <x:c r="J25" s="92"/>
      <x:c r="K25" s="92"/>
      <x:c r="L25" s="92"/>
      <x:c r="M25" s="92"/>
      <x:c r="N25" s="92"/>
      <x:c r="O25" s="92"/>
      <x:c r="P25" s="92"/>
      <x:c r="Q25" s="92"/>
      <x:c r="R25" s="92"/>
      <x:c r="S25" s="92"/>
      <x:c r="T25" s="92"/>
      <x:c r="U25" s="92"/>
      <x:c r="V25" s="92"/>
      <x:c r="W25" s="92"/>
      <x:c r="X25" s="92"/>
      <x:c r="Y25" s="92"/>
      <x:c r="Z25" s="92"/>
    </x:row>
    <x:row r="26">
      <x:c r="A26" s="92"/>
      <x:c r="B26" s="92"/>
      <x:c r="C26" s="92"/>
      <x:c r="D26" s="92"/>
      <x:c r="E26" s="92"/>
      <x:c r="F26" s="92"/>
      <x:c r="G26" s="92"/>
      <x:c r="H26" s="92"/>
      <x:c r="I26" s="92"/>
      <x:c r="J26" s="92"/>
      <x:c r="K26" s="92"/>
      <x:c r="L26" s="92"/>
      <x:c r="M26" s="92"/>
      <x:c r="N26" s="92"/>
      <x:c r="O26" s="92"/>
      <x:c r="P26" s="92"/>
      <x:c r="Q26" s="92"/>
      <x:c r="R26" s="92"/>
      <x:c r="S26" s="92"/>
      <x:c r="T26" s="92"/>
      <x:c r="U26" s="92"/>
      <x:c r="V26" s="92"/>
      <x:c r="W26" s="92"/>
      <x:c r="X26" s="92"/>
      <x:c r="Y26" s="92"/>
      <x:c r="Z26" s="92"/>
    </x:row>
    <x:row r="27">
      <x:c r="A27" s="92"/>
      <x:c r="B27" s="92"/>
      <x:c r="C27" s="92"/>
      <x:c r="D27" s="92"/>
      <x:c r="E27" s="92"/>
      <x:c r="F27" s="92"/>
      <x:c r="G27" s="92"/>
      <x:c r="H27" s="92"/>
      <x:c r="I27" s="92"/>
      <x:c r="J27" s="92"/>
      <x:c r="K27" s="92"/>
      <x:c r="L27" s="92"/>
      <x:c r="M27" s="92"/>
      <x:c r="N27" s="92"/>
      <x:c r="O27" s="92"/>
      <x:c r="P27" s="92"/>
      <x:c r="Q27" s="92"/>
      <x:c r="R27" s="92"/>
      <x:c r="S27" s="92"/>
      <x:c r="T27" s="92"/>
      <x:c r="U27" s="92"/>
      <x:c r="V27" s="92"/>
      <x:c r="W27" s="92"/>
      <x:c r="X27" s="92"/>
      <x:c r="Y27" s="92"/>
      <x:c r="Z27" s="92"/>
    </x:row>
    <x:row r="28">
      <x:c r="A28" s="92"/>
      <x:c r="B28" s="92"/>
      <x:c r="C28" s="92"/>
      <x:c r="D28" s="92"/>
      <x:c r="E28" s="92"/>
      <x:c r="F28" s="92"/>
      <x:c r="G28" s="92"/>
      <x:c r="H28" s="92"/>
      <x:c r="I28" s="92"/>
      <x:c r="J28" s="92"/>
      <x:c r="K28" s="92"/>
      <x:c r="L28" s="92"/>
      <x:c r="M28" s="92"/>
      <x:c r="N28" s="92"/>
      <x:c r="O28" s="92"/>
      <x:c r="P28" s="92"/>
      <x:c r="Q28" s="92"/>
      <x:c r="R28" s="92"/>
      <x:c r="S28" s="92"/>
      <x:c r="T28" s="92"/>
      <x:c r="U28" s="92"/>
      <x:c r="V28" s="92"/>
      <x:c r="W28" s="92"/>
      <x:c r="X28" s="92"/>
      <x:c r="Y28" s="92"/>
      <x:c r="Z28" s="92"/>
    </x:row>
    <x:row r="29">
      <x:c r="A29" s="92"/>
      <x:c r="B29" s="92"/>
      <x:c r="C29" s="92"/>
      <x:c r="D29" s="92"/>
      <x:c r="E29" s="92"/>
      <x:c r="F29" s="92"/>
      <x:c r="G29" s="92"/>
      <x:c r="H29" s="92"/>
      <x:c r="I29" s="92"/>
      <x:c r="J29" s="92"/>
      <x:c r="K29" s="92"/>
      <x:c r="L29" s="92"/>
      <x:c r="M29" s="92"/>
      <x:c r="N29" s="92"/>
      <x:c r="O29" s="92"/>
      <x:c r="P29" s="92"/>
      <x:c r="Q29" s="92"/>
      <x:c r="R29" s="92"/>
      <x:c r="S29" s="92"/>
      <x:c r="T29" s="92"/>
      <x:c r="U29" s="92"/>
      <x:c r="V29" s="92"/>
      <x:c r="W29" s="92"/>
      <x:c r="X29" s="92"/>
      <x:c r="Y29" s="92"/>
      <x:c r="Z29" s="92"/>
    </x:row>
    <x:row r="30">
      <x:c r="A30" s="92"/>
      <x:c r="B30" s="92"/>
      <x:c r="C30" s="92"/>
      <x:c r="D30" s="92"/>
      <x:c r="E30" s="92"/>
      <x:c r="F30" s="92"/>
      <x:c r="G30" s="92"/>
      <x:c r="H30" s="92"/>
      <x:c r="I30" s="92"/>
      <x:c r="J30" s="92"/>
      <x:c r="K30" s="92"/>
      <x:c r="L30" s="92"/>
      <x:c r="M30" s="92"/>
      <x:c r="N30" s="92"/>
      <x:c r="O30" s="92"/>
      <x:c r="P30" s="92"/>
      <x:c r="Q30" s="92"/>
      <x:c r="R30" s="92"/>
      <x:c r="S30" s="92"/>
      <x:c r="T30" s="92"/>
      <x:c r="U30" s="92"/>
      <x:c r="V30" s="92"/>
      <x:c r="W30" s="92"/>
      <x:c r="X30" s="92"/>
      <x:c r="Y30" s="92"/>
      <x:c r="Z30" s="92"/>
    </x:row>
    <x:row r="31">
      <x:c r="A31" s="92"/>
      <x:c r="B31" s="92"/>
      <x:c r="C31" s="92"/>
      <x:c r="D31" s="92"/>
      <x:c r="E31" s="92"/>
      <x:c r="F31" s="92"/>
      <x:c r="G31" s="92"/>
      <x:c r="H31" s="92"/>
      <x:c r="I31" s="92"/>
      <x:c r="J31" s="92"/>
      <x:c r="K31" s="92"/>
      <x:c r="L31" s="92"/>
      <x:c r="M31" s="92"/>
      <x:c r="N31" s="92"/>
      <x:c r="O31" s="92"/>
      <x:c r="P31" s="92"/>
      <x:c r="Q31" s="92"/>
      <x:c r="R31" s="92"/>
      <x:c r="S31" s="92"/>
      <x:c r="T31" s="92"/>
      <x:c r="U31" s="92"/>
      <x:c r="V31" s="92"/>
      <x:c r="W31" s="92"/>
      <x:c r="X31" s="92"/>
      <x:c r="Y31" s="92"/>
      <x:c r="Z31" s="92"/>
    </x:row>
    <x:row r="32">
      <x:c r="A32" s="92"/>
      <x:c r="B32" s="92"/>
      <x:c r="C32" s="92"/>
      <x:c r="D32" s="92"/>
      <x:c r="E32" s="92"/>
      <x:c r="F32" s="92"/>
      <x:c r="G32" s="92"/>
      <x:c r="H32" s="92"/>
      <x:c r="I32" s="92"/>
      <x:c r="J32" s="92"/>
      <x:c r="K32" s="92"/>
      <x:c r="L32" s="92"/>
      <x:c r="M32" s="92"/>
      <x:c r="N32" s="92"/>
      <x:c r="O32" s="92"/>
      <x:c r="P32" s="92"/>
      <x:c r="Q32" s="92"/>
      <x:c r="R32" s="92"/>
      <x:c r="S32" s="92"/>
      <x:c r="T32" s="92"/>
      <x:c r="U32" s="92"/>
      <x:c r="V32" s="92"/>
      <x:c r="W32" s="92"/>
      <x:c r="X32" s="92"/>
      <x:c r="Y32" s="92"/>
      <x:c r="Z32" s="92"/>
    </x:row>
    <x:row r="33">
      <x:c r="A33" s="92"/>
      <x:c r="B33" s="92"/>
      <x:c r="C33" s="92"/>
      <x:c r="D33" s="92"/>
      <x:c r="E33" s="92"/>
      <x:c r="F33" s="92"/>
      <x:c r="G33" s="92"/>
      <x:c r="H33" s="92"/>
      <x:c r="I33" s="92"/>
      <x:c r="J33" s="92"/>
      <x:c r="K33" s="92"/>
      <x:c r="L33" s="92"/>
      <x:c r="M33" s="92"/>
      <x:c r="N33" s="92"/>
      <x:c r="O33" s="92"/>
      <x:c r="P33" s="92"/>
      <x:c r="Q33" s="92"/>
      <x:c r="R33" s="92"/>
      <x:c r="S33" s="92"/>
      <x:c r="T33" s="92"/>
      <x:c r="U33" s="92"/>
      <x:c r="V33" s="92"/>
      <x:c r="W33" s="92"/>
      <x:c r="X33" s="92"/>
      <x:c r="Y33" s="92"/>
      <x:c r="Z33" s="92"/>
    </x:row>
    <x:row r="34">
      <x:c r="A34" s="92"/>
      <x:c r="B34" s="92"/>
      <x:c r="C34" s="92"/>
      <x:c r="D34" s="92"/>
      <x:c r="E34" s="92"/>
      <x:c r="F34" s="92"/>
      <x:c r="G34" s="92"/>
      <x:c r="H34" s="92"/>
      <x:c r="I34" s="92"/>
      <x:c r="J34" s="92"/>
      <x:c r="K34" s="92"/>
      <x:c r="L34" s="92"/>
      <x:c r="M34" s="92"/>
      <x:c r="N34" s="92"/>
      <x:c r="O34" s="92"/>
      <x:c r="P34" s="92"/>
      <x:c r="Q34" s="92"/>
      <x:c r="R34" s="92"/>
      <x:c r="S34" s="92"/>
      <x:c r="T34" s="92"/>
      <x:c r="U34" s="92"/>
      <x:c r="V34" s="92"/>
      <x:c r="W34" s="92"/>
      <x:c r="X34" s="92"/>
      <x:c r="Y34" s="92"/>
      <x:c r="Z34" s="92"/>
    </x:row>
    <x:row r="35">
      <x:c r="A35" s="92"/>
      <x:c r="B35" s="92"/>
      <x:c r="C35" s="92"/>
      <x:c r="D35" s="92"/>
      <x:c r="E35" s="92"/>
      <x:c r="F35" s="92"/>
      <x:c r="G35" s="92"/>
      <x:c r="H35" s="92"/>
      <x:c r="I35" s="92"/>
      <x:c r="J35" s="92"/>
      <x:c r="K35" s="92"/>
      <x:c r="L35" s="92"/>
      <x:c r="M35" s="92"/>
      <x:c r="N35" s="92"/>
      <x:c r="O35" s="92"/>
      <x:c r="P35" s="92"/>
      <x:c r="Q35" s="92"/>
      <x:c r="R35" s="92"/>
      <x:c r="S35" s="92"/>
      <x:c r="T35" s="92"/>
      <x:c r="U35" s="92"/>
      <x:c r="V35" s="92"/>
      <x:c r="W35" s="92"/>
      <x:c r="X35" s="92"/>
      <x:c r="Y35" s="92"/>
      <x:c r="Z35" s="92"/>
    </x:row>
    <x:row r="36">
      <x:c r="A36" s="92"/>
      <x:c r="B36" s="92"/>
      <x:c r="C36" s="92"/>
      <x:c r="D36" s="92"/>
      <x:c r="E36" s="92"/>
      <x:c r="F36" s="92"/>
      <x:c r="G36" s="92"/>
      <x:c r="H36" s="92"/>
      <x:c r="I36" s="92"/>
      <x:c r="J36" s="92"/>
      <x:c r="K36" s="92"/>
      <x:c r="L36" s="92"/>
      <x:c r="M36" s="92"/>
      <x:c r="N36" s="92"/>
      <x:c r="O36" s="92"/>
      <x:c r="P36" s="92"/>
      <x:c r="Q36" s="92"/>
      <x:c r="R36" s="92"/>
      <x:c r="S36" s="92"/>
      <x:c r="T36" s="92"/>
      <x:c r="U36" s="92"/>
      <x:c r="V36" s="92"/>
      <x:c r="W36" s="92"/>
      <x:c r="X36" s="92"/>
      <x:c r="Y36" s="92"/>
      <x:c r="Z36" s="92"/>
    </x:row>
    <x:row r="37">
      <x:c r="A37" s="92"/>
      <x:c r="B37" s="92"/>
      <x:c r="C37" s="92"/>
      <x:c r="D37" s="92"/>
      <x:c r="E37" s="92"/>
      <x:c r="F37" s="92"/>
      <x:c r="G37" s="92"/>
      <x:c r="H37" s="92"/>
      <x:c r="I37" s="92"/>
      <x:c r="J37" s="92"/>
      <x:c r="K37" s="92"/>
      <x:c r="L37" s="92"/>
      <x:c r="M37" s="92"/>
      <x:c r="N37" s="92"/>
      <x:c r="O37" s="92"/>
      <x:c r="P37" s="92"/>
      <x:c r="Q37" s="92"/>
      <x:c r="R37" s="92"/>
      <x:c r="S37" s="92"/>
      <x:c r="T37" s="92"/>
      <x:c r="U37" s="92"/>
      <x:c r="V37" s="92"/>
      <x:c r="W37" s="92"/>
      <x:c r="X37" s="92"/>
      <x:c r="Y37" s="92"/>
      <x:c r="Z37" s="92"/>
    </x:row>
    <x:row r="38">
      <x:c r="A38" s="92"/>
      <x:c r="B38" s="92"/>
      <x:c r="C38" s="92"/>
      <x:c r="D38" s="92"/>
      <x:c r="E38" s="92"/>
      <x:c r="F38" s="92"/>
      <x:c r="G38" s="92"/>
      <x:c r="H38" s="92"/>
      <x:c r="I38" s="92"/>
      <x:c r="J38" s="92"/>
      <x:c r="K38" s="92"/>
      <x:c r="L38" s="92"/>
      <x:c r="M38" s="92"/>
      <x:c r="N38" s="92"/>
      <x:c r="O38" s="92"/>
      <x:c r="P38" s="92"/>
      <x:c r="Q38" s="92"/>
      <x:c r="R38" s="92"/>
      <x:c r="S38" s="92"/>
      <x:c r="T38" s="92"/>
      <x:c r="U38" s="92"/>
      <x:c r="V38" s="92"/>
      <x:c r="W38" s="92"/>
      <x:c r="X38" s="92"/>
      <x:c r="Y38" s="92"/>
      <x:c r="Z38" s="92"/>
    </x:row>
    <x:row r="39">
      <x:c r="A39" s="92"/>
      <x:c r="B39" s="92"/>
      <x:c r="C39" s="92"/>
      <x:c r="D39" s="92"/>
      <x:c r="E39" s="92"/>
      <x:c r="F39" s="92"/>
      <x:c r="G39" s="92"/>
      <x:c r="H39" s="92"/>
      <x:c r="I39" s="92"/>
      <x:c r="J39" s="92"/>
      <x:c r="K39" s="92"/>
      <x:c r="L39" s="92"/>
      <x:c r="M39" s="92"/>
      <x:c r="N39" s="92"/>
      <x:c r="O39" s="92"/>
      <x:c r="P39" s="92"/>
      <x:c r="Q39" s="92"/>
      <x:c r="R39" s="92"/>
      <x:c r="S39" s="92"/>
      <x:c r="T39" s="92"/>
      <x:c r="U39" s="92"/>
      <x:c r="V39" s="92"/>
      <x:c r="W39" s="92"/>
      <x:c r="X39" s="92"/>
      <x:c r="Y39" s="92"/>
      <x:c r="Z39" s="92"/>
    </x:row>
    <x:row r="40">
      <x:c r="A40" s="92"/>
      <x:c r="B40" s="92"/>
      <x:c r="C40" s="92"/>
      <x:c r="D40" s="92"/>
      <x:c r="E40" s="92"/>
      <x:c r="F40" s="92"/>
      <x:c r="G40" s="92"/>
      <x:c r="H40" s="92"/>
      <x:c r="I40" s="92"/>
      <x:c r="J40" s="92"/>
      <x:c r="K40" s="92"/>
      <x:c r="L40" s="92"/>
      <x:c r="M40" s="92"/>
      <x:c r="N40" s="92"/>
      <x:c r="O40" s="92"/>
      <x:c r="P40" s="92"/>
      <x:c r="Q40" s="92"/>
      <x:c r="R40" s="92"/>
      <x:c r="S40" s="92"/>
      <x:c r="T40" s="92"/>
      <x:c r="U40" s="92"/>
      <x:c r="V40" s="92"/>
      <x:c r="W40" s="92"/>
      <x:c r="X40" s="92"/>
      <x:c r="Y40" s="92"/>
      <x:c r="Z40" s="92"/>
    </x:row>
    <x:row r="41">
      <x:c r="A41" s="92"/>
      <x:c r="B41" s="92"/>
      <x:c r="C41" s="92"/>
      <x:c r="D41" s="92"/>
      <x:c r="E41" s="92"/>
      <x:c r="F41" s="92"/>
      <x:c r="G41" s="92"/>
      <x:c r="H41" s="92"/>
      <x:c r="I41" s="92"/>
      <x:c r="J41" s="92"/>
      <x:c r="K41" s="92"/>
      <x:c r="L41" s="92"/>
      <x:c r="M41" s="92"/>
      <x:c r="N41" s="92"/>
      <x:c r="O41" s="92"/>
      <x:c r="P41" s="92"/>
      <x:c r="Q41" s="92"/>
      <x:c r="R41" s="92"/>
      <x:c r="S41" s="92"/>
      <x:c r="T41" s="92"/>
      <x:c r="U41" s="92"/>
      <x:c r="V41" s="92"/>
      <x:c r="W41" s="92"/>
      <x:c r="X41" s="92"/>
      <x:c r="Y41" s="92"/>
      <x:c r="Z41" s="92"/>
    </x:row>
    <x:row r="42">
      <x:c r="A42" s="92"/>
      <x:c r="B42" s="92"/>
      <x:c r="C42" s="92"/>
      <x:c r="D42" s="92"/>
      <x:c r="E42" s="92"/>
      <x:c r="F42" s="92"/>
      <x:c r="G42" s="92"/>
      <x:c r="H42" s="92"/>
      <x:c r="I42" s="92"/>
      <x:c r="J42" s="92"/>
      <x:c r="K42" s="92"/>
      <x:c r="L42" s="92"/>
      <x:c r="M42" s="92"/>
      <x:c r="N42" s="92"/>
      <x:c r="O42" s="92"/>
      <x:c r="P42" s="92"/>
      <x:c r="Q42" s="92"/>
      <x:c r="R42" s="92"/>
      <x:c r="S42" s="92"/>
      <x:c r="T42" s="92"/>
      <x:c r="U42" s="92"/>
      <x:c r="V42" s="92"/>
      <x:c r="W42" s="92"/>
      <x:c r="X42" s="92"/>
      <x:c r="Y42" s="92"/>
      <x:c r="Z42" s="92"/>
    </x:row>
    <x:row r="43">
      <x:c r="A43" s="92"/>
      <x:c r="B43" s="92"/>
      <x:c r="C43" s="92"/>
      <x:c r="D43" s="92"/>
      <x:c r="E43" s="92"/>
      <x:c r="F43" s="92"/>
      <x:c r="G43" s="92"/>
      <x:c r="H43" s="92"/>
      <x:c r="I43" s="92"/>
      <x:c r="J43" s="92"/>
      <x:c r="K43" s="92"/>
      <x:c r="L43" s="92"/>
      <x:c r="M43" s="92"/>
      <x:c r="N43" s="92"/>
      <x:c r="O43" s="92"/>
      <x:c r="P43" s="92"/>
      <x:c r="Q43" s="92"/>
      <x:c r="R43" s="92"/>
      <x:c r="S43" s="92"/>
      <x:c r="T43" s="92"/>
      <x:c r="U43" s="92"/>
      <x:c r="V43" s="92"/>
      <x:c r="W43" s="92"/>
      <x:c r="X43" s="92"/>
      <x:c r="Y43" s="92"/>
      <x:c r="Z43" s="92"/>
    </x:row>
    <x:row r="44">
      <x:c r="A44" s="92"/>
      <x:c r="B44" s="92"/>
      <x:c r="C44" s="92"/>
      <x:c r="D44" s="92"/>
      <x:c r="E44" s="92"/>
      <x:c r="F44" s="92"/>
      <x:c r="G44" s="92"/>
      <x:c r="H44" s="92"/>
      <x:c r="I44" s="92"/>
      <x:c r="J44" s="92"/>
      <x:c r="K44" s="92"/>
      <x:c r="L44" s="92"/>
      <x:c r="M44" s="92"/>
      <x:c r="N44" s="92"/>
      <x:c r="O44" s="92"/>
      <x:c r="P44" s="92"/>
      <x:c r="Q44" s="92"/>
      <x:c r="R44" s="92"/>
      <x:c r="S44" s="92"/>
      <x:c r="T44" s="92"/>
      <x:c r="U44" s="92"/>
      <x:c r="V44" s="92"/>
      <x:c r="W44" s="92"/>
      <x:c r="X44" s="92"/>
      <x:c r="Y44" s="92"/>
      <x:c r="Z44" s="92"/>
    </x:row>
    <x:row r="45">
      <x:c r="A45" s="92"/>
      <x:c r="B45" s="92"/>
      <x:c r="C45" s="92"/>
      <x:c r="D45" s="92"/>
      <x:c r="E45" s="92"/>
      <x:c r="F45" s="92"/>
      <x:c r="G45" s="92"/>
      <x:c r="H45" s="92"/>
      <x:c r="I45" s="92"/>
      <x:c r="J45" s="92"/>
      <x:c r="K45" s="92"/>
      <x:c r="L45" s="92"/>
      <x:c r="M45" s="92"/>
      <x:c r="N45" s="92"/>
      <x:c r="O45" s="92"/>
      <x:c r="P45" s="92"/>
      <x:c r="Q45" s="92"/>
      <x:c r="R45" s="92"/>
      <x:c r="S45" s="92"/>
      <x:c r="T45" s="92"/>
      <x:c r="U45" s="92"/>
      <x:c r="V45" s="92"/>
      <x:c r="W45" s="92"/>
      <x:c r="X45" s="92"/>
      <x:c r="Y45" s="92"/>
      <x:c r="Z45" s="92"/>
    </x:row>
    <x:row r="46">
      <x:c r="A46" s="92"/>
      <x:c r="B46" s="92"/>
      <x:c r="C46" s="92"/>
      <x:c r="D46" s="92"/>
      <x:c r="E46" s="92"/>
      <x:c r="F46" s="92"/>
      <x:c r="G46" s="92"/>
      <x:c r="H46" s="92"/>
      <x:c r="I46" s="92"/>
      <x:c r="J46" s="92"/>
      <x:c r="K46" s="92"/>
      <x:c r="L46" s="92"/>
      <x:c r="M46" s="92"/>
      <x:c r="N46" s="92"/>
      <x:c r="O46" s="92"/>
      <x:c r="P46" s="92"/>
      <x:c r="Q46" s="92"/>
      <x:c r="R46" s="92"/>
      <x:c r="S46" s="92"/>
      <x:c r="T46" s="92"/>
      <x:c r="U46" s="92"/>
      <x:c r="V46" s="92"/>
      <x:c r="W46" s="92"/>
      <x:c r="X46" s="92"/>
      <x:c r="Y46" s="92"/>
      <x:c r="Z46" s="92"/>
    </x:row>
    <x:row r="47">
      <x:c r="A47" s="92"/>
      <x:c r="B47" s="92"/>
      <x:c r="C47" s="92"/>
      <x:c r="D47" s="92"/>
      <x:c r="E47" s="92"/>
      <x:c r="F47" s="92"/>
      <x:c r="G47" s="92"/>
      <x:c r="H47" s="92"/>
      <x:c r="I47" s="92"/>
      <x:c r="J47" s="92"/>
      <x:c r="K47" s="92"/>
      <x:c r="L47" s="92"/>
      <x:c r="M47" s="92"/>
      <x:c r="N47" s="92"/>
      <x:c r="O47" s="92"/>
      <x:c r="P47" s="92"/>
      <x:c r="Q47" s="92"/>
      <x:c r="R47" s="92"/>
      <x:c r="S47" s="92"/>
      <x:c r="T47" s="92"/>
      <x:c r="U47" s="92"/>
      <x:c r="V47" s="92"/>
      <x:c r="W47" s="92"/>
      <x:c r="X47" s="92"/>
      <x:c r="Y47" s="92"/>
      <x:c r="Z47" s="92"/>
    </x:row>
    <x:row r="48">
      <x:c r="A48" s="92"/>
      <x:c r="B48" s="92"/>
      <x:c r="C48" s="92"/>
      <x:c r="D48" s="92"/>
      <x:c r="E48" s="92"/>
      <x:c r="F48" s="92"/>
      <x:c r="G48" s="92"/>
      <x:c r="H48" s="92"/>
      <x:c r="I48" s="92"/>
      <x:c r="J48" s="92"/>
      <x:c r="K48" s="92"/>
      <x:c r="L48" s="92"/>
      <x:c r="M48" s="92"/>
      <x:c r="N48" s="92"/>
      <x:c r="O48" s="92"/>
      <x:c r="P48" s="92"/>
      <x:c r="Q48" s="92"/>
      <x:c r="R48" s="92"/>
      <x:c r="S48" s="92"/>
      <x:c r="T48" s="92"/>
      <x:c r="U48" s="92"/>
      <x:c r="V48" s="92"/>
      <x:c r="W48" s="92"/>
      <x:c r="X48" s="92"/>
      <x:c r="Y48" s="92"/>
      <x:c r="Z48" s="92"/>
    </x:row>
    <x:row r="49">
      <x:c r="A49" s="92"/>
      <x:c r="B49" s="92"/>
      <x:c r="C49" s="92"/>
      <x:c r="D49" s="92"/>
      <x:c r="E49" s="92"/>
      <x:c r="F49" s="92"/>
      <x:c r="G49" s="92"/>
      <x:c r="H49" s="92"/>
      <x:c r="I49" s="92"/>
      <x:c r="J49" s="92"/>
      <x:c r="K49" s="92"/>
      <x:c r="L49" s="92"/>
      <x:c r="M49" s="92"/>
      <x:c r="N49" s="92"/>
      <x:c r="O49" s="92"/>
      <x:c r="P49" s="92"/>
      <x:c r="Q49" s="92"/>
      <x:c r="R49" s="92"/>
      <x:c r="S49" s="92"/>
      <x:c r="T49" s="92"/>
      <x:c r="U49" s="92"/>
      <x:c r="V49" s="92"/>
      <x:c r="W49" s="92"/>
      <x:c r="X49" s="92"/>
      <x:c r="Y49" s="92"/>
      <x:c r="Z49" s="92"/>
    </x:row>
    <x:row r="50">
      <x:c r="A50" s="92"/>
      <x:c r="B50" s="92"/>
      <x:c r="C50" s="92"/>
      <x:c r="D50" s="92"/>
      <x:c r="E50" s="92"/>
      <x:c r="F50" s="92"/>
      <x:c r="G50" s="92"/>
      <x:c r="H50" s="92"/>
      <x:c r="I50" s="92"/>
      <x:c r="J50" s="92"/>
      <x:c r="K50" s="92"/>
      <x:c r="L50" s="92"/>
      <x:c r="M50" s="92"/>
      <x:c r="N50" s="92"/>
      <x:c r="O50" s="92"/>
      <x:c r="P50" s="92"/>
      <x:c r="Q50" s="92"/>
      <x:c r="R50" s="92"/>
      <x:c r="S50" s="92"/>
      <x:c r="T50" s="92"/>
      <x:c r="U50" s="92"/>
      <x:c r="V50" s="92"/>
      <x:c r="W50" s="92"/>
      <x:c r="X50" s="92"/>
      <x:c r="Y50" s="92"/>
      <x:c r="Z50" s="92"/>
    </x:row>
    <x:row r="51">
      <x:c r="A51" s="92"/>
      <x:c r="B51" s="92"/>
      <x:c r="C51" s="92"/>
      <x:c r="D51" s="92"/>
      <x:c r="E51" s="92"/>
      <x:c r="F51" s="92"/>
      <x:c r="G51" s="92"/>
      <x:c r="H51" s="92"/>
      <x:c r="I51" s="92"/>
      <x:c r="J51" s="92"/>
      <x:c r="K51" s="92"/>
      <x:c r="L51" s="92"/>
      <x:c r="M51" s="92"/>
      <x:c r="N51" s="92"/>
      <x:c r="O51" s="92"/>
      <x:c r="P51" s="92"/>
      <x:c r="Q51" s="92"/>
      <x:c r="R51" s="92"/>
      <x:c r="S51" s="92"/>
      <x:c r="T51" s="92"/>
      <x:c r="U51" s="92"/>
      <x:c r="V51" s="92"/>
      <x:c r="W51" s="92"/>
      <x:c r="X51" s="92"/>
      <x:c r="Y51" s="92"/>
      <x:c r="Z51" s="92"/>
    </x:row>
    <x:row r="52">
      <x:c r="A52" s="92"/>
      <x:c r="B52" s="92"/>
      <x:c r="C52" s="92"/>
      <x:c r="D52" s="92"/>
      <x:c r="E52" s="92"/>
      <x:c r="F52" s="92"/>
      <x:c r="G52" s="92"/>
      <x:c r="H52" s="92"/>
      <x:c r="I52" s="92"/>
      <x:c r="J52" s="92"/>
      <x:c r="K52" s="92"/>
      <x:c r="L52" s="92"/>
      <x:c r="M52" s="92"/>
      <x:c r="N52" s="92"/>
      <x:c r="O52" s="92"/>
      <x:c r="P52" s="92"/>
      <x:c r="Q52" s="92"/>
      <x:c r="R52" s="92"/>
      <x:c r="S52" s="92"/>
      <x:c r="T52" s="92"/>
      <x:c r="U52" s="92"/>
      <x:c r="V52" s="92"/>
      <x:c r="W52" s="92"/>
      <x:c r="X52" s="92"/>
      <x:c r="Y52" s="92"/>
      <x:c r="Z52" s="92"/>
    </x:row>
    <x:row r="53">
      <x:c r="A53" s="92"/>
      <x:c r="B53" s="92"/>
      <x:c r="C53" s="92"/>
      <x:c r="D53" s="92"/>
      <x:c r="E53" s="92"/>
      <x:c r="F53" s="92"/>
      <x:c r="G53" s="92"/>
      <x:c r="H53" s="92"/>
      <x:c r="I53" s="92"/>
      <x:c r="J53" s="92"/>
      <x:c r="K53" s="92"/>
      <x:c r="L53" s="92"/>
      <x:c r="M53" s="92"/>
      <x:c r="N53" s="92"/>
      <x:c r="O53" s="92"/>
      <x:c r="P53" s="92"/>
      <x:c r="Q53" s="92"/>
      <x:c r="R53" s="92"/>
      <x:c r="S53" s="92"/>
      <x:c r="T53" s="92"/>
      <x:c r="U53" s="92"/>
      <x:c r="V53" s="92"/>
      <x:c r="W53" s="92"/>
      <x:c r="X53" s="92"/>
      <x:c r="Y53" s="92"/>
      <x:c r="Z53" s="92"/>
    </x:row>
    <x:row r="54">
      <x:c r="A54" s="92"/>
      <x:c r="B54" s="92"/>
      <x:c r="C54" s="92"/>
      <x:c r="D54" s="92"/>
      <x:c r="E54" s="92"/>
      <x:c r="F54" s="92"/>
      <x:c r="G54" s="92"/>
      <x:c r="H54" s="92"/>
      <x:c r="I54" s="92"/>
      <x:c r="J54" s="92"/>
      <x:c r="K54" s="92"/>
      <x:c r="L54" s="92"/>
      <x:c r="M54" s="92"/>
      <x:c r="N54" s="92"/>
      <x:c r="O54" s="92"/>
      <x:c r="P54" s="92"/>
      <x:c r="Q54" s="92"/>
      <x:c r="R54" s="92"/>
      <x:c r="S54" s="92"/>
      <x:c r="T54" s="92"/>
      <x:c r="U54" s="92"/>
      <x:c r="V54" s="92"/>
      <x:c r="W54" s="92"/>
      <x:c r="X54" s="92"/>
      <x:c r="Y54" s="92"/>
      <x:c r="Z54" s="92"/>
    </x:row>
    <x:row r="55">
      <x:c r="A55" s="92"/>
      <x:c r="B55" s="92"/>
      <x:c r="C55" s="92"/>
      <x:c r="D55" s="92"/>
      <x:c r="E55" s="92"/>
      <x:c r="F55" s="92"/>
      <x:c r="G55" s="92"/>
      <x:c r="H55" s="92"/>
      <x:c r="I55" s="92"/>
      <x:c r="J55" s="92"/>
      <x:c r="K55" s="92"/>
      <x:c r="L55" s="92"/>
      <x:c r="M55" s="92"/>
      <x:c r="N55" s="92"/>
      <x:c r="O55" s="92"/>
      <x:c r="P55" s="92"/>
      <x:c r="Q55" s="92"/>
      <x:c r="R55" s="92"/>
      <x:c r="S55" s="92"/>
      <x:c r="T55" s="92"/>
      <x:c r="U55" s="92"/>
      <x:c r="V55" s="92"/>
      <x:c r="W55" s="92"/>
      <x:c r="X55" s="92"/>
      <x:c r="Y55" s="92"/>
      <x:c r="Z55" s="92"/>
    </x:row>
    <x:row r="56">
      <x:c r="A56" s="92"/>
      <x:c r="B56" s="92"/>
      <x:c r="C56" s="92"/>
      <x:c r="D56" s="92"/>
      <x:c r="E56" s="92"/>
      <x:c r="F56" s="92"/>
      <x:c r="G56" s="92"/>
      <x:c r="H56" s="92"/>
      <x:c r="I56" s="92"/>
      <x:c r="J56" s="92"/>
      <x:c r="K56" s="92"/>
      <x:c r="L56" s="92"/>
      <x:c r="M56" s="92"/>
      <x:c r="N56" s="92"/>
      <x:c r="O56" s="92"/>
      <x:c r="P56" s="92"/>
      <x:c r="Q56" s="92"/>
      <x:c r="R56" s="92"/>
      <x:c r="S56" s="92"/>
      <x:c r="T56" s="92"/>
      <x:c r="U56" s="92"/>
      <x:c r="V56" s="92"/>
      <x:c r="W56" s="92"/>
      <x:c r="X56" s="92"/>
      <x:c r="Y56" s="92"/>
      <x:c r="Z56" s="92"/>
    </x:row>
    <x:row r="57">
      <x:c r="A57" s="92"/>
      <x:c r="B57" s="92"/>
      <x:c r="C57" s="92"/>
      <x:c r="D57" s="92"/>
      <x:c r="E57" s="92"/>
      <x:c r="F57" s="92"/>
      <x:c r="G57" s="92"/>
      <x:c r="H57" s="92"/>
      <x:c r="I57" s="92"/>
      <x:c r="J57" s="92"/>
      <x:c r="K57" s="92"/>
      <x:c r="L57" s="92"/>
      <x:c r="M57" s="92"/>
      <x:c r="N57" s="92"/>
      <x:c r="O57" s="92"/>
      <x:c r="P57" s="92"/>
      <x:c r="Q57" s="92"/>
      <x:c r="R57" s="92"/>
      <x:c r="S57" s="92"/>
      <x:c r="T57" s="92"/>
      <x:c r="U57" s="92"/>
      <x:c r="V57" s="92"/>
      <x:c r="W57" s="92"/>
      <x:c r="X57" s="92"/>
      <x:c r="Y57" s="92"/>
      <x:c r="Z57" s="92"/>
    </x:row>
    <x:row r="58">
      <x:c r="A58" s="92"/>
      <x:c r="B58" s="92"/>
      <x:c r="C58" s="92"/>
      <x:c r="D58" s="92"/>
      <x:c r="E58" s="92"/>
      <x:c r="F58" s="92"/>
      <x:c r="G58" s="92"/>
      <x:c r="H58" s="92"/>
      <x:c r="I58" s="92"/>
      <x:c r="J58" s="92"/>
      <x:c r="K58" s="92"/>
      <x:c r="L58" s="92"/>
      <x:c r="M58" s="92"/>
      <x:c r="N58" s="92"/>
      <x:c r="O58" s="92"/>
      <x:c r="P58" s="92"/>
      <x:c r="Q58" s="92"/>
      <x:c r="R58" s="92"/>
      <x:c r="S58" s="92"/>
      <x:c r="T58" s="92"/>
      <x:c r="U58" s="92"/>
      <x:c r="V58" s="92"/>
      <x:c r="W58" s="92"/>
      <x:c r="X58" s="92"/>
      <x:c r="Y58" s="92"/>
      <x:c r="Z58" s="92"/>
    </x:row>
    <x:row r="59">
      <x:c r="A59" s="92"/>
      <x:c r="B59" s="92"/>
      <x:c r="C59" s="92"/>
      <x:c r="D59" s="92"/>
      <x:c r="E59" s="92"/>
      <x:c r="F59" s="92"/>
      <x:c r="G59" s="92"/>
      <x:c r="H59" s="92"/>
      <x:c r="I59" s="92"/>
      <x:c r="J59" s="92"/>
      <x:c r="K59" s="92"/>
      <x:c r="L59" s="92"/>
      <x:c r="M59" s="92"/>
      <x:c r="N59" s="92"/>
      <x:c r="O59" s="92"/>
      <x:c r="P59" s="92"/>
      <x:c r="Q59" s="92"/>
      <x:c r="R59" s="92"/>
      <x:c r="S59" s="92"/>
      <x:c r="T59" s="92"/>
      <x:c r="U59" s="92"/>
      <x:c r="V59" s="92"/>
      <x:c r="W59" s="92"/>
      <x:c r="X59" s="92"/>
      <x:c r="Y59" s="92"/>
      <x:c r="Z59" s="92"/>
    </x:row>
    <x:row r="60">
      <x:c r="A60" s="92"/>
      <x:c r="B60" s="92"/>
      <x:c r="C60" s="92"/>
      <x:c r="D60" s="92"/>
      <x:c r="E60" s="92"/>
      <x:c r="F60" s="92"/>
      <x:c r="G60" s="92"/>
      <x:c r="H60" s="92"/>
      <x:c r="I60" s="92"/>
      <x:c r="J60" s="92"/>
      <x:c r="K60" s="92"/>
      <x:c r="L60" s="92"/>
      <x:c r="M60" s="92"/>
      <x:c r="N60" s="92"/>
      <x:c r="O60" s="92"/>
      <x:c r="P60" s="92"/>
      <x:c r="Q60" s="92"/>
      <x:c r="R60" s="92"/>
      <x:c r="S60" s="92"/>
      <x:c r="T60" s="92"/>
      <x:c r="U60" s="92"/>
      <x:c r="V60" s="92"/>
      <x:c r="W60" s="92"/>
      <x:c r="X60" s="92"/>
      <x:c r="Y60" s="92"/>
      <x:c r="Z60" s="92"/>
    </x:row>
    <x:row r="61">
      <x:c r="A61" s="92"/>
      <x:c r="B61" s="92"/>
      <x:c r="C61" s="92"/>
      <x:c r="D61" s="92"/>
      <x:c r="E61" s="92"/>
      <x:c r="F61" s="92"/>
      <x:c r="G61" s="92"/>
      <x:c r="H61" s="92"/>
      <x:c r="I61" s="92"/>
      <x:c r="J61" s="92"/>
      <x:c r="K61" s="92"/>
      <x:c r="L61" s="92"/>
      <x:c r="M61" s="92"/>
      <x:c r="N61" s="92"/>
      <x:c r="O61" s="92"/>
      <x:c r="P61" s="92"/>
      <x:c r="Q61" s="92"/>
      <x:c r="R61" s="92"/>
      <x:c r="S61" s="92"/>
      <x:c r="T61" s="92"/>
      <x:c r="U61" s="92"/>
      <x:c r="V61" s="92"/>
      <x:c r="W61" s="92"/>
      <x:c r="X61" s="92"/>
      <x:c r="Y61" s="92"/>
      <x:c r="Z61" s="92"/>
    </x:row>
    <x:row r="62">
      <x:c r="A62" s="92"/>
      <x:c r="B62" s="92"/>
      <x:c r="C62" s="92"/>
      <x:c r="D62" s="92"/>
      <x:c r="E62" s="92"/>
      <x:c r="F62" s="92"/>
      <x:c r="G62" s="92"/>
      <x:c r="H62" s="92"/>
      <x:c r="I62" s="92"/>
      <x:c r="J62" s="92"/>
      <x:c r="K62" s="92"/>
      <x:c r="L62" s="92"/>
      <x:c r="M62" s="92"/>
      <x:c r="N62" s="92"/>
      <x:c r="O62" s="92"/>
      <x:c r="P62" s="92"/>
      <x:c r="Q62" s="92"/>
      <x:c r="R62" s="92"/>
      <x:c r="S62" s="92"/>
      <x:c r="T62" s="92"/>
      <x:c r="U62" s="92"/>
      <x:c r="V62" s="92"/>
      <x:c r="W62" s="92"/>
      <x:c r="X62" s="92"/>
      <x:c r="Y62" s="92"/>
      <x:c r="Z62" s="92"/>
    </x:row>
    <x:row r="63">
      <x:c r="A63" s="92"/>
      <x:c r="B63" s="92"/>
      <x:c r="C63" s="92"/>
      <x:c r="D63" s="92"/>
      <x:c r="E63" s="92"/>
      <x:c r="F63" s="92"/>
      <x:c r="G63" s="92"/>
      <x:c r="H63" s="92"/>
      <x:c r="I63" s="92"/>
      <x:c r="J63" s="92"/>
      <x:c r="K63" s="92"/>
      <x:c r="L63" s="92"/>
      <x:c r="M63" s="92"/>
      <x:c r="N63" s="92"/>
      <x:c r="O63" s="92"/>
      <x:c r="P63" s="92"/>
      <x:c r="Q63" s="92"/>
      <x:c r="R63" s="92"/>
      <x:c r="S63" s="92"/>
      <x:c r="T63" s="92"/>
      <x:c r="U63" s="92"/>
      <x:c r="V63" s="92"/>
      <x:c r="W63" s="92"/>
      <x:c r="X63" s="92"/>
      <x:c r="Y63" s="92"/>
      <x:c r="Z63" s="92"/>
    </x:row>
    <x:row r="64">
      <x:c r="A64" s="92"/>
      <x:c r="B64" s="92"/>
      <x:c r="C64" s="92"/>
      <x:c r="D64" s="92"/>
      <x:c r="E64" s="92"/>
      <x:c r="F64" s="92"/>
      <x:c r="G64" s="92"/>
      <x:c r="H64" s="92"/>
      <x:c r="I64" s="92"/>
      <x:c r="J64" s="92"/>
      <x:c r="K64" s="92"/>
      <x:c r="L64" s="92"/>
      <x:c r="M64" s="92"/>
      <x:c r="N64" s="92"/>
      <x:c r="O64" s="92"/>
      <x:c r="P64" s="92"/>
      <x:c r="Q64" s="92"/>
      <x:c r="R64" s="92"/>
      <x:c r="S64" s="92"/>
      <x:c r="T64" s="92"/>
      <x:c r="U64" s="92"/>
      <x:c r="V64" s="92"/>
      <x:c r="W64" s="92"/>
      <x:c r="X64" s="92"/>
      <x:c r="Y64" s="92"/>
      <x:c r="Z64" s="92"/>
    </x:row>
    <x:row r="65">
      <x:c r="A65" s="92"/>
      <x:c r="B65" s="92"/>
      <x:c r="C65" s="92"/>
      <x:c r="D65" s="92"/>
      <x:c r="E65" s="92"/>
      <x:c r="F65" s="92"/>
      <x:c r="G65" s="92"/>
      <x:c r="H65" s="92"/>
      <x:c r="I65" s="92"/>
      <x:c r="J65" s="92"/>
      <x:c r="K65" s="92"/>
      <x:c r="L65" s="92"/>
      <x:c r="M65" s="92"/>
      <x:c r="N65" s="92"/>
      <x:c r="O65" s="92"/>
      <x:c r="P65" s="92"/>
      <x:c r="Q65" s="92"/>
      <x:c r="R65" s="92"/>
      <x:c r="S65" s="92"/>
      <x:c r="T65" s="92"/>
      <x:c r="U65" s="92"/>
      <x:c r="V65" s="92"/>
      <x:c r="W65" s="92"/>
      <x:c r="X65" s="92"/>
      <x:c r="Y65" s="92"/>
      <x:c r="Z65" s="92"/>
    </x:row>
    <x:row r="66">
      <x:c r="A66" s="92"/>
      <x:c r="B66" s="92"/>
      <x:c r="C66" s="92"/>
      <x:c r="D66" s="92"/>
      <x:c r="E66" s="92"/>
      <x:c r="F66" s="92"/>
      <x:c r="G66" s="92"/>
      <x:c r="H66" s="92"/>
      <x:c r="I66" s="92"/>
      <x:c r="J66" s="92"/>
      <x:c r="K66" s="92"/>
      <x:c r="L66" s="92"/>
      <x:c r="M66" s="92"/>
      <x:c r="N66" s="92"/>
      <x:c r="O66" s="92"/>
      <x:c r="P66" s="92"/>
      <x:c r="Q66" s="92"/>
      <x:c r="R66" s="92"/>
      <x:c r="S66" s="92"/>
      <x:c r="T66" s="92"/>
      <x:c r="U66" s="92"/>
      <x:c r="V66" s="92"/>
      <x:c r="W66" s="92"/>
      <x:c r="X66" s="92"/>
      <x:c r="Y66" s="92"/>
      <x:c r="Z66" s="92"/>
    </x:row>
    <x:row r="67">
      <x:c r="A67" s="92"/>
      <x:c r="B67" s="92"/>
      <x:c r="C67" s="92"/>
      <x:c r="D67" s="92"/>
      <x:c r="E67" s="92"/>
      <x:c r="F67" s="92"/>
      <x:c r="G67" s="92"/>
      <x:c r="H67" s="92"/>
      <x:c r="I67" s="92"/>
      <x:c r="J67" s="92"/>
      <x:c r="K67" s="92"/>
      <x:c r="L67" s="92"/>
      <x:c r="M67" s="92"/>
      <x:c r="N67" s="92"/>
      <x:c r="O67" s="92"/>
      <x:c r="P67" s="92"/>
      <x:c r="Q67" s="92"/>
      <x:c r="R67" s="92"/>
      <x:c r="S67" s="92"/>
      <x:c r="T67" s="92"/>
      <x:c r="U67" s="92"/>
      <x:c r="V67" s="92"/>
      <x:c r="W67" s="92"/>
      <x:c r="X67" s="92"/>
      <x:c r="Y67" s="92"/>
      <x:c r="Z67" s="92"/>
    </x:row>
    <x:row r="68">
      <x:c r="A68" s="92"/>
      <x:c r="B68" s="92"/>
      <x:c r="C68" s="92"/>
      <x:c r="D68" s="92"/>
      <x:c r="E68" s="92"/>
      <x:c r="F68" s="92"/>
      <x:c r="G68" s="92"/>
      <x:c r="H68" s="92"/>
      <x:c r="I68" s="92"/>
      <x:c r="J68" s="92"/>
      <x:c r="K68" s="92"/>
      <x:c r="L68" s="92"/>
      <x:c r="M68" s="92"/>
      <x:c r="N68" s="92"/>
      <x:c r="O68" s="92"/>
      <x:c r="P68" s="92"/>
      <x:c r="Q68" s="92"/>
      <x:c r="R68" s="92"/>
      <x:c r="S68" s="92"/>
      <x:c r="T68" s="92"/>
      <x:c r="U68" s="92"/>
      <x:c r="V68" s="92"/>
      <x:c r="W68" s="92"/>
      <x:c r="X68" s="92"/>
      <x:c r="Y68" s="92"/>
      <x:c r="Z68" s="92"/>
    </x:row>
    <x:row r="69">
      <x:c r="A69" s="92"/>
      <x:c r="B69" s="92"/>
      <x:c r="C69" s="92"/>
      <x:c r="D69" s="92"/>
      <x:c r="E69" s="92"/>
      <x:c r="F69" s="92"/>
      <x:c r="G69" s="92"/>
      <x:c r="H69" s="92"/>
      <x:c r="I69" s="92"/>
      <x:c r="J69" s="92"/>
      <x:c r="K69" s="92"/>
      <x:c r="L69" s="92"/>
      <x:c r="M69" s="92"/>
      <x:c r="N69" s="92"/>
      <x:c r="O69" s="92"/>
      <x:c r="P69" s="92"/>
      <x:c r="Q69" s="92"/>
      <x:c r="R69" s="92"/>
      <x:c r="S69" s="92"/>
      <x:c r="T69" s="92"/>
      <x:c r="U69" s="92"/>
      <x:c r="V69" s="92"/>
      <x:c r="W69" s="92"/>
      <x:c r="X69" s="92"/>
      <x:c r="Y69" s="92"/>
      <x:c r="Z69" s="92"/>
    </x:row>
    <x:row r="70">
      <x:c r="A70" s="92"/>
      <x:c r="B70" s="92"/>
      <x:c r="C70" s="92"/>
      <x:c r="D70" s="92"/>
      <x:c r="E70" s="92"/>
      <x:c r="F70" s="92"/>
      <x:c r="G70" s="92"/>
      <x:c r="H70" s="92"/>
      <x:c r="I70" s="92"/>
      <x:c r="J70" s="92"/>
      <x:c r="K70" s="92"/>
      <x:c r="L70" s="92"/>
      <x:c r="M70" s="92"/>
      <x:c r="N70" s="92"/>
      <x:c r="O70" s="92"/>
      <x:c r="P70" s="92"/>
      <x:c r="Q70" s="92"/>
      <x:c r="R70" s="92"/>
      <x:c r="S70" s="92"/>
      <x:c r="T70" s="92"/>
      <x:c r="U70" s="92"/>
      <x:c r="V70" s="92"/>
      <x:c r="W70" s="92"/>
      <x:c r="X70" s="92"/>
      <x:c r="Y70" s="92"/>
      <x:c r="Z70" s="92"/>
    </x:row>
    <x:row r="71">
      <x:c r="A71" s="92"/>
      <x:c r="B71" s="92"/>
      <x:c r="C71" s="92"/>
      <x:c r="D71" s="92"/>
      <x:c r="E71" s="92"/>
      <x:c r="F71" s="92"/>
      <x:c r="G71" s="92"/>
      <x:c r="H71" s="92"/>
      <x:c r="I71" s="92"/>
      <x:c r="J71" s="92"/>
      <x:c r="K71" s="92"/>
      <x:c r="L71" s="92"/>
      <x:c r="M71" s="92"/>
      <x:c r="N71" s="92"/>
      <x:c r="O71" s="92"/>
      <x:c r="P71" s="92"/>
      <x:c r="Q71" s="92"/>
      <x:c r="R71" s="92"/>
      <x:c r="S71" s="92"/>
      <x:c r="T71" s="92"/>
      <x:c r="U71" s="92"/>
      <x:c r="V71" s="92"/>
      <x:c r="W71" s="92"/>
      <x:c r="X71" s="92"/>
      <x:c r="Y71" s="92"/>
      <x:c r="Z71" s="92"/>
    </x:row>
    <x:row r="72">
      <x:c r="A72" s="92"/>
      <x:c r="B72" s="92"/>
      <x:c r="C72" s="92"/>
      <x:c r="D72" s="92"/>
      <x:c r="E72" s="92"/>
      <x:c r="F72" s="92"/>
      <x:c r="G72" s="92"/>
      <x:c r="H72" s="92"/>
      <x:c r="I72" s="92"/>
      <x:c r="J72" s="92"/>
      <x:c r="K72" s="92"/>
      <x:c r="L72" s="92"/>
      <x:c r="M72" s="92"/>
      <x:c r="N72" s="92"/>
      <x:c r="O72" s="92"/>
      <x:c r="P72" s="92"/>
      <x:c r="Q72" s="92"/>
      <x:c r="R72" s="92"/>
      <x:c r="S72" s="92"/>
      <x:c r="T72" s="92"/>
      <x:c r="U72" s="92"/>
      <x:c r="V72" s="92"/>
      <x:c r="W72" s="92"/>
      <x:c r="X72" s="92"/>
      <x:c r="Y72" s="92"/>
      <x:c r="Z72" s="92"/>
    </x:row>
    <x:row r="73">
      <x:c r="A73" s="92"/>
      <x:c r="B73" s="92"/>
      <x:c r="C73" s="92"/>
      <x:c r="D73" s="92"/>
      <x:c r="E73" s="92"/>
      <x:c r="F73" s="92"/>
      <x:c r="G73" s="92"/>
      <x:c r="H73" s="92"/>
      <x:c r="I73" s="92"/>
      <x:c r="J73" s="92"/>
      <x:c r="K73" s="92"/>
      <x:c r="L73" s="92"/>
      <x:c r="M73" s="92"/>
      <x:c r="N73" s="92"/>
      <x:c r="O73" s="92"/>
      <x:c r="P73" s="92"/>
      <x:c r="Q73" s="92"/>
      <x:c r="R73" s="92"/>
      <x:c r="S73" s="92"/>
      <x:c r="T73" s="92"/>
      <x:c r="U73" s="92"/>
      <x:c r="V73" s="92"/>
      <x:c r="W73" s="92"/>
      <x:c r="X73" s="92"/>
      <x:c r="Y73" s="92"/>
      <x:c r="Z73" s="92"/>
    </x:row>
    <x:row r="74">
      <x:c r="A74" s="92"/>
      <x:c r="B74" s="92"/>
      <x:c r="C74" s="92"/>
      <x:c r="D74" s="92"/>
      <x:c r="E74" s="92"/>
      <x:c r="F74" s="92"/>
      <x:c r="G74" s="92"/>
      <x:c r="H74" s="92"/>
      <x:c r="I74" s="92"/>
      <x:c r="J74" s="92"/>
      <x:c r="K74" s="92"/>
      <x:c r="L74" s="92"/>
      <x:c r="M74" s="92"/>
      <x:c r="N74" s="92"/>
      <x:c r="O74" s="92"/>
      <x:c r="P74" s="92"/>
      <x:c r="Q74" s="92"/>
      <x:c r="R74" s="92"/>
      <x:c r="S74" s="92"/>
      <x:c r="T74" s="92"/>
      <x:c r="U74" s="92"/>
      <x:c r="V74" s="92"/>
      <x:c r="W74" s="92"/>
      <x:c r="X74" s="92"/>
      <x:c r="Y74" s="92"/>
      <x:c r="Z74" s="92"/>
    </x:row>
    <x:row r="75">
      <x:c r="A75" s="92"/>
      <x:c r="B75" s="92"/>
      <x:c r="C75" s="92"/>
      <x:c r="D75" s="92"/>
      <x:c r="E75" s="92"/>
      <x:c r="F75" s="92"/>
      <x:c r="G75" s="92"/>
      <x:c r="H75" s="92"/>
      <x:c r="I75" s="92"/>
      <x:c r="J75" s="92"/>
      <x:c r="K75" s="92"/>
      <x:c r="L75" s="92"/>
      <x:c r="M75" s="92"/>
      <x:c r="N75" s="92"/>
      <x:c r="O75" s="92"/>
      <x:c r="P75" s="92"/>
      <x:c r="Q75" s="92"/>
      <x:c r="R75" s="92"/>
      <x:c r="S75" s="92"/>
      <x:c r="T75" s="92"/>
      <x:c r="U75" s="92"/>
      <x:c r="V75" s="92"/>
      <x:c r="W75" s="92"/>
      <x:c r="X75" s="92"/>
      <x:c r="Y75" s="92"/>
      <x:c r="Z75" s="92"/>
    </x:row>
    <x:row r="76">
      <x:c r="A76" s="92"/>
      <x:c r="B76" s="92"/>
      <x:c r="C76" s="92"/>
      <x:c r="D76" s="92"/>
      <x:c r="E76" s="92"/>
      <x:c r="F76" s="92"/>
      <x:c r="G76" s="92"/>
      <x:c r="H76" s="92"/>
      <x:c r="I76" s="92"/>
      <x:c r="J76" s="92"/>
      <x:c r="K76" s="92"/>
      <x:c r="L76" s="92"/>
      <x:c r="M76" s="92"/>
      <x:c r="N76" s="92"/>
      <x:c r="O76" s="92"/>
      <x:c r="P76" s="92"/>
      <x:c r="Q76" s="92"/>
      <x:c r="R76" s="92"/>
      <x:c r="S76" s="92"/>
      <x:c r="T76" s="92"/>
      <x:c r="U76" s="92"/>
      <x:c r="V76" s="92"/>
      <x:c r="W76" s="92"/>
      <x:c r="X76" s="92"/>
      <x:c r="Y76" s="92"/>
      <x:c r="Z76" s="92"/>
    </x:row>
    <x:row r="77">
      <x:c r="A77" s="92"/>
      <x:c r="B77" s="92"/>
      <x:c r="C77" s="92"/>
      <x:c r="D77" s="92"/>
      <x:c r="E77" s="92"/>
      <x:c r="F77" s="92"/>
      <x:c r="G77" s="92"/>
      <x:c r="H77" s="92"/>
      <x:c r="I77" s="92"/>
      <x:c r="J77" s="92"/>
      <x:c r="K77" s="92"/>
      <x:c r="L77" s="92"/>
      <x:c r="M77" s="92"/>
      <x:c r="N77" s="92"/>
      <x:c r="O77" s="92"/>
      <x:c r="P77" s="92"/>
      <x:c r="Q77" s="92"/>
      <x:c r="R77" s="92"/>
      <x:c r="S77" s="92"/>
      <x:c r="T77" s="92"/>
      <x:c r="U77" s="92"/>
      <x:c r="V77" s="92"/>
      <x:c r="W77" s="92"/>
      <x:c r="X77" s="92"/>
      <x:c r="Y77" s="92"/>
      <x:c r="Z77" s="92"/>
    </x:row>
    <x:row r="78">
      <x:c r="A78" s="92"/>
      <x:c r="B78" s="92"/>
      <x:c r="C78" s="92"/>
      <x:c r="D78" s="92"/>
      <x:c r="E78" s="92"/>
      <x:c r="F78" s="92"/>
      <x:c r="G78" s="92"/>
      <x:c r="H78" s="92"/>
      <x:c r="I78" s="92"/>
      <x:c r="J78" s="92"/>
      <x:c r="K78" s="92"/>
      <x:c r="L78" s="92"/>
      <x:c r="M78" s="92"/>
      <x:c r="N78" s="92"/>
      <x:c r="O78" s="92"/>
      <x:c r="P78" s="92"/>
      <x:c r="Q78" s="92"/>
      <x:c r="R78" s="92"/>
      <x:c r="S78" s="92"/>
      <x:c r="T78" s="92"/>
      <x:c r="U78" s="92"/>
      <x:c r="V78" s="92"/>
      <x:c r="W78" s="92"/>
      <x:c r="X78" s="92"/>
      <x:c r="Y78" s="92"/>
      <x:c r="Z78" s="92"/>
    </x:row>
    <x:row r="79">
      <x:c r="A79" s="92"/>
      <x:c r="B79" s="92"/>
      <x:c r="C79" s="92"/>
      <x:c r="D79" s="92"/>
      <x:c r="E79" s="92"/>
      <x:c r="F79" s="92"/>
      <x:c r="G79" s="92"/>
      <x:c r="H79" s="92"/>
      <x:c r="I79" s="92"/>
      <x:c r="J79" s="92"/>
      <x:c r="K79" s="92"/>
      <x:c r="L79" s="92"/>
      <x:c r="M79" s="92"/>
      <x:c r="N79" s="92"/>
      <x:c r="O79" s="92"/>
      <x:c r="P79" s="92"/>
      <x:c r="Q79" s="92"/>
      <x:c r="R79" s="92"/>
      <x:c r="S79" s="92"/>
      <x:c r="T79" s="92"/>
      <x:c r="U79" s="92"/>
      <x:c r="V79" s="92"/>
      <x:c r="W79" s="92"/>
      <x:c r="X79" s="92"/>
      <x:c r="Y79" s="92"/>
      <x:c r="Z79" s="92"/>
    </x:row>
    <x:row r="80">
      <x:c r="A80" s="92"/>
      <x:c r="B80" s="92"/>
      <x:c r="C80" s="92"/>
      <x:c r="D80" s="92"/>
      <x:c r="E80" s="92"/>
      <x:c r="F80" s="92"/>
      <x:c r="G80" s="92"/>
      <x:c r="H80" s="92"/>
      <x:c r="I80" s="92"/>
      <x:c r="J80" s="92"/>
      <x:c r="K80" s="92"/>
      <x:c r="L80" s="92"/>
      <x:c r="M80" s="92"/>
      <x:c r="N80" s="92"/>
      <x:c r="O80" s="92"/>
      <x:c r="P80" s="92"/>
      <x:c r="Q80" s="92"/>
      <x:c r="R80" s="92"/>
      <x:c r="S80" s="92"/>
      <x:c r="T80" s="92"/>
      <x:c r="U80" s="92"/>
      <x:c r="V80" s="92"/>
      <x:c r="W80" s="92"/>
      <x:c r="X80" s="92"/>
      <x:c r="Y80" s="92"/>
      <x:c r="Z80" s="92"/>
    </x:row>
    <x:row r="81">
      <x:c r="A81" s="92"/>
      <x:c r="B81" s="92"/>
      <x:c r="C81" s="92"/>
      <x:c r="D81" s="92"/>
      <x:c r="E81" s="92"/>
      <x:c r="F81" s="92"/>
      <x:c r="G81" s="92"/>
      <x:c r="H81" s="92"/>
      <x:c r="I81" s="92"/>
      <x:c r="J81" s="92"/>
      <x:c r="K81" s="92"/>
      <x:c r="L81" s="92"/>
      <x:c r="M81" s="92"/>
      <x:c r="N81" s="92"/>
      <x:c r="O81" s="92"/>
      <x:c r="P81" s="92"/>
      <x:c r="Q81" s="92"/>
      <x:c r="R81" s="92"/>
      <x:c r="S81" s="92"/>
      <x:c r="T81" s="92"/>
      <x:c r="U81" s="92"/>
      <x:c r="V81" s="92"/>
      <x:c r="W81" s="92"/>
      <x:c r="X81" s="92"/>
      <x:c r="Y81" s="92"/>
      <x:c r="Z81" s="92"/>
    </x:row>
    <x:row r="82">
      <x:c r="A82" s="92"/>
      <x:c r="B82" s="92"/>
      <x:c r="C82" s="92"/>
      <x:c r="D82" s="92"/>
      <x:c r="E82" s="92"/>
      <x:c r="F82" s="92"/>
      <x:c r="G82" s="92"/>
      <x:c r="H82" s="92"/>
      <x:c r="I82" s="92"/>
      <x:c r="J82" s="92"/>
      <x:c r="K82" s="92"/>
      <x:c r="L82" s="92"/>
      <x:c r="M82" s="92"/>
      <x:c r="N82" s="92"/>
      <x:c r="O82" s="92"/>
      <x:c r="P82" s="92"/>
      <x:c r="Q82" s="92"/>
      <x:c r="R82" s="92"/>
      <x:c r="S82" s="92"/>
      <x:c r="T82" s="92"/>
      <x:c r="U82" s="92"/>
      <x:c r="V82" s="92"/>
      <x:c r="W82" s="92"/>
      <x:c r="X82" s="92"/>
      <x:c r="Y82" s="92"/>
      <x:c r="Z82" s="92"/>
    </x:row>
    <x:row r="83">
      <x:c r="A83" s="92"/>
      <x:c r="B83" s="92"/>
      <x:c r="C83" s="92"/>
      <x:c r="D83" s="92"/>
      <x:c r="E83" s="92"/>
      <x:c r="F83" s="92"/>
      <x:c r="G83" s="92"/>
      <x:c r="H83" s="92"/>
      <x:c r="I83" s="92"/>
      <x:c r="J83" s="92"/>
      <x:c r="K83" s="92"/>
      <x:c r="L83" s="92"/>
      <x:c r="M83" s="92"/>
      <x:c r="N83" s="92"/>
      <x:c r="O83" s="92"/>
      <x:c r="P83" s="92"/>
      <x:c r="Q83" s="92"/>
      <x:c r="R83" s="92"/>
      <x:c r="S83" s="92"/>
      <x:c r="T83" s="92"/>
      <x:c r="U83" s="92"/>
      <x:c r="V83" s="92"/>
      <x:c r="W83" s="92"/>
      <x:c r="X83" s="92"/>
      <x:c r="Y83" s="92"/>
      <x:c r="Z83" s="92"/>
    </x:row>
    <x:row r="84">
      <x:c r="A84" s="92"/>
      <x:c r="B84" s="92"/>
      <x:c r="C84" s="92"/>
      <x:c r="D84" s="92"/>
      <x:c r="E84" s="92"/>
      <x:c r="F84" s="92"/>
      <x:c r="G84" s="92"/>
      <x:c r="H84" s="92"/>
      <x:c r="I84" s="92"/>
      <x:c r="J84" s="92"/>
      <x:c r="K84" s="92"/>
      <x:c r="L84" s="92"/>
      <x:c r="M84" s="92"/>
      <x:c r="N84" s="92"/>
      <x:c r="O84" s="92"/>
      <x:c r="P84" s="92"/>
      <x:c r="Q84" s="92"/>
      <x:c r="R84" s="92"/>
      <x:c r="S84" s="92"/>
      <x:c r="T84" s="92"/>
      <x:c r="U84" s="92"/>
      <x:c r="V84" s="92"/>
      <x:c r="W84" s="92"/>
      <x:c r="X84" s="92"/>
      <x:c r="Y84" s="92"/>
      <x:c r="Z84" s="92"/>
    </x:row>
    <x:row r="85">
      <x:c r="A85" s="92"/>
      <x:c r="B85" s="92"/>
      <x:c r="C85" s="92"/>
      <x:c r="D85" s="92"/>
      <x:c r="E85" s="92"/>
      <x:c r="F85" s="92"/>
      <x:c r="G85" s="92"/>
      <x:c r="H85" s="92"/>
      <x:c r="I85" s="92"/>
      <x:c r="J85" s="92"/>
      <x:c r="K85" s="92"/>
      <x:c r="L85" s="92"/>
      <x:c r="M85" s="92"/>
      <x:c r="N85" s="92"/>
      <x:c r="O85" s="92"/>
      <x:c r="P85" s="92"/>
      <x:c r="Q85" s="92"/>
      <x:c r="R85" s="92"/>
      <x:c r="S85" s="92"/>
      <x:c r="T85" s="92"/>
      <x:c r="U85" s="92"/>
      <x:c r="V85" s="92"/>
      <x:c r="W85" s="92"/>
      <x:c r="X85" s="92"/>
      <x:c r="Y85" s="92"/>
      <x:c r="Z85" s="92"/>
    </x:row>
    <x:row r="86">
      <x:c r="A86" s="92"/>
      <x:c r="B86" s="92"/>
      <x:c r="C86" s="92"/>
      <x:c r="D86" s="92"/>
      <x:c r="E86" s="92"/>
      <x:c r="F86" s="92"/>
      <x:c r="G86" s="92"/>
      <x:c r="H86" s="92"/>
      <x:c r="I86" s="92"/>
      <x:c r="J86" s="92"/>
      <x:c r="K86" s="92"/>
      <x:c r="L86" s="92"/>
      <x:c r="M86" s="92"/>
      <x:c r="N86" s="92"/>
      <x:c r="O86" s="92"/>
      <x:c r="P86" s="92"/>
      <x:c r="Q86" s="92"/>
      <x:c r="R86" s="92"/>
      <x:c r="S86" s="92"/>
      <x:c r="T86" s="92"/>
      <x:c r="U86" s="92"/>
      <x:c r="V86" s="92"/>
      <x:c r="W86" s="92"/>
      <x:c r="X86" s="92"/>
      <x:c r="Y86" s="92"/>
      <x:c r="Z86" s="92"/>
    </x:row>
    <x:row r="87">
      <x:c r="A87" s="92"/>
      <x:c r="B87" s="92"/>
      <x:c r="C87" s="92"/>
      <x:c r="D87" s="92"/>
      <x:c r="E87" s="92"/>
      <x:c r="F87" s="92"/>
      <x:c r="G87" s="92"/>
      <x:c r="H87" s="92"/>
      <x:c r="I87" s="92"/>
      <x:c r="J87" s="92"/>
      <x:c r="K87" s="92"/>
      <x:c r="L87" s="92"/>
      <x:c r="M87" s="92"/>
      <x:c r="N87" s="92"/>
      <x:c r="O87" s="92"/>
      <x:c r="P87" s="92"/>
      <x:c r="Q87" s="92"/>
      <x:c r="R87" s="92"/>
      <x:c r="S87" s="92"/>
      <x:c r="T87" s="92"/>
      <x:c r="U87" s="92"/>
      <x:c r="V87" s="92"/>
      <x:c r="W87" s="92"/>
      <x:c r="X87" s="92"/>
      <x:c r="Y87" s="92"/>
      <x:c r="Z87" s="92"/>
    </x:row>
    <x:row r="88">
      <x:c r="A88" s="92"/>
      <x:c r="B88" s="92"/>
      <x:c r="C88" s="92"/>
      <x:c r="D88" s="92"/>
      <x:c r="E88" s="92"/>
      <x:c r="F88" s="92"/>
      <x:c r="G88" s="92"/>
      <x:c r="H88" s="92"/>
      <x:c r="I88" s="92"/>
      <x:c r="J88" s="92"/>
      <x:c r="K88" s="92"/>
      <x:c r="L88" s="92"/>
      <x:c r="M88" s="92"/>
      <x:c r="N88" s="92"/>
      <x:c r="O88" s="92"/>
      <x:c r="P88" s="92"/>
      <x:c r="Q88" s="92"/>
      <x:c r="R88" s="92"/>
      <x:c r="S88" s="92"/>
      <x:c r="T88" s="92"/>
      <x:c r="U88" s="92"/>
      <x:c r="V88" s="92"/>
      <x:c r="W88" s="92"/>
      <x:c r="X88" s="92"/>
      <x:c r="Y88" s="92"/>
      <x:c r="Z88" s="92"/>
    </x:row>
    <x:row r="89">
      <x:c r="A89" s="92"/>
      <x:c r="B89" s="92"/>
      <x:c r="C89" s="92"/>
      <x:c r="D89" s="92"/>
      <x:c r="E89" s="92"/>
      <x:c r="F89" s="92"/>
      <x:c r="G89" s="92"/>
      <x:c r="H89" s="92"/>
      <x:c r="I89" s="92"/>
      <x:c r="J89" s="92"/>
      <x:c r="K89" s="92"/>
      <x:c r="L89" s="92"/>
      <x:c r="M89" s="92"/>
      <x:c r="N89" s="92"/>
      <x:c r="O89" s="92"/>
      <x:c r="P89" s="92"/>
      <x:c r="Q89" s="92"/>
      <x:c r="R89" s="92"/>
      <x:c r="S89" s="92"/>
      <x:c r="T89" s="92"/>
      <x:c r="U89" s="92"/>
      <x:c r="V89" s="92"/>
      <x:c r="W89" s="92"/>
      <x:c r="X89" s="92"/>
      <x:c r="Y89" s="92"/>
      <x:c r="Z89" s="92"/>
    </x:row>
    <x:row r="90">
      <x:c r="A90" s="92"/>
      <x:c r="B90" s="92"/>
      <x:c r="C90" s="92"/>
      <x:c r="D90" s="92"/>
      <x:c r="E90" s="92"/>
      <x:c r="F90" s="92"/>
      <x:c r="G90" s="92"/>
      <x:c r="H90" s="92"/>
      <x:c r="I90" s="92"/>
      <x:c r="J90" s="92"/>
      <x:c r="K90" s="92"/>
      <x:c r="L90" s="92"/>
      <x:c r="M90" s="92"/>
      <x:c r="N90" s="92"/>
      <x:c r="O90" s="92"/>
      <x:c r="P90" s="92"/>
      <x:c r="Q90" s="92"/>
      <x:c r="R90" s="92"/>
      <x:c r="S90" s="92"/>
      <x:c r="T90" s="92"/>
      <x:c r="U90" s="92"/>
      <x:c r="V90" s="92"/>
      <x:c r="W90" s="92"/>
      <x:c r="X90" s="92"/>
      <x:c r="Y90" s="92"/>
      <x:c r="Z90" s="92"/>
    </x:row>
    <x:row r="91">
      <x:c r="A91" s="92"/>
      <x:c r="B91" s="92"/>
      <x:c r="C91" s="92"/>
      <x:c r="D91" s="92"/>
      <x:c r="E91" s="92"/>
      <x:c r="F91" s="92"/>
      <x:c r="G91" s="92"/>
      <x:c r="H91" s="92"/>
      <x:c r="I91" s="92"/>
      <x:c r="J91" s="92"/>
      <x:c r="K91" s="92"/>
      <x:c r="L91" s="92"/>
      <x:c r="M91" s="92"/>
      <x:c r="N91" s="92"/>
      <x:c r="O91" s="92"/>
      <x:c r="P91" s="92"/>
      <x:c r="Q91" s="92"/>
      <x:c r="R91" s="92"/>
      <x:c r="S91" s="92"/>
      <x:c r="T91" s="92"/>
      <x:c r="U91" s="92"/>
      <x:c r="V91" s="92"/>
      <x:c r="W91" s="92"/>
      <x:c r="X91" s="92"/>
      <x:c r="Y91" s="92"/>
      <x:c r="Z91" s="92"/>
    </x:row>
    <x:row r="92">
      <x:c r="A92" s="92"/>
      <x:c r="B92" s="92"/>
      <x:c r="C92" s="92"/>
      <x:c r="D92" s="92"/>
      <x:c r="E92" s="92"/>
      <x:c r="F92" s="92"/>
      <x:c r="G92" s="92"/>
      <x:c r="H92" s="92"/>
      <x:c r="I92" s="92"/>
      <x:c r="J92" s="92"/>
      <x:c r="K92" s="92"/>
      <x:c r="L92" s="92"/>
      <x:c r="M92" s="92"/>
      <x:c r="N92" s="92"/>
      <x:c r="O92" s="92"/>
      <x:c r="P92" s="92"/>
      <x:c r="Q92" s="92"/>
      <x:c r="R92" s="92"/>
      <x:c r="S92" s="92"/>
      <x:c r="T92" s="92"/>
      <x:c r="U92" s="92"/>
      <x:c r="V92" s="92"/>
      <x:c r="W92" s="92"/>
      <x:c r="X92" s="92"/>
      <x:c r="Y92" s="92"/>
      <x:c r="Z92" s="92"/>
    </x:row>
    <x:row r="93">
      <x:c r="A93" s="92"/>
      <x:c r="B93" s="92"/>
      <x:c r="C93" s="92"/>
      <x:c r="D93" s="92"/>
      <x:c r="E93" s="92"/>
      <x:c r="F93" s="92"/>
      <x:c r="G93" s="92"/>
      <x:c r="H93" s="92"/>
      <x:c r="I93" s="92"/>
      <x:c r="J93" s="92"/>
      <x:c r="K93" s="92"/>
      <x:c r="L93" s="92"/>
      <x:c r="M93" s="92"/>
      <x:c r="N93" s="92"/>
      <x:c r="O93" s="92"/>
      <x:c r="P93" s="92"/>
      <x:c r="Q93" s="92"/>
      <x:c r="R93" s="92"/>
      <x:c r="S93" s="92"/>
      <x:c r="T93" s="92"/>
      <x:c r="U93" s="92"/>
      <x:c r="V93" s="92"/>
      <x:c r="W93" s="92"/>
      <x:c r="X93" s="92"/>
      <x:c r="Y93" s="92"/>
      <x:c r="Z93" s="92"/>
    </x:row>
    <x:row r="94">
      <x:c r="A94" s="92"/>
      <x:c r="B94" s="92"/>
      <x:c r="C94" s="92"/>
      <x:c r="D94" s="92"/>
      <x:c r="E94" s="92"/>
      <x:c r="F94" s="92"/>
      <x:c r="G94" s="92"/>
      <x:c r="H94" s="92"/>
      <x:c r="I94" s="92"/>
      <x:c r="J94" s="92"/>
      <x:c r="K94" s="92"/>
      <x:c r="L94" s="92"/>
      <x:c r="M94" s="92"/>
      <x:c r="N94" s="92"/>
      <x:c r="O94" s="92"/>
      <x:c r="P94" s="92"/>
      <x:c r="Q94" s="92"/>
      <x:c r="R94" s="92"/>
      <x:c r="S94" s="92"/>
      <x:c r="T94" s="92"/>
      <x:c r="U94" s="92"/>
      <x:c r="V94" s="92"/>
      <x:c r="W94" s="92"/>
      <x:c r="X94" s="92"/>
      <x:c r="Y94" s="92"/>
      <x:c r="Z94" s="92"/>
    </x:row>
    <x:row r="95">
      <x:c r="A95" s="92"/>
      <x:c r="B95" s="92"/>
      <x:c r="C95" s="92"/>
      <x:c r="D95" s="92"/>
      <x:c r="E95" s="92"/>
      <x:c r="F95" s="92"/>
      <x:c r="G95" s="92"/>
      <x:c r="H95" s="92"/>
      <x:c r="I95" s="92"/>
      <x:c r="J95" s="92"/>
      <x:c r="K95" s="92"/>
      <x:c r="L95" s="92"/>
      <x:c r="M95" s="92"/>
      <x:c r="N95" s="92"/>
      <x:c r="O95" s="92"/>
      <x:c r="P95" s="92"/>
      <x:c r="Q95" s="92"/>
      <x:c r="R95" s="92"/>
      <x:c r="S95" s="92"/>
      <x:c r="T95" s="92"/>
      <x:c r="U95" s="92"/>
      <x:c r="V95" s="92"/>
      <x:c r="W95" s="92"/>
      <x:c r="X95" s="92"/>
      <x:c r="Y95" s="92"/>
      <x:c r="Z95" s="92"/>
    </x:row>
    <x:row r="96">
      <x:c r="A96" s="92"/>
      <x:c r="B96" s="92"/>
      <x:c r="C96" s="92"/>
      <x:c r="D96" s="92"/>
      <x:c r="E96" s="92"/>
      <x:c r="F96" s="92"/>
      <x:c r="G96" s="92"/>
      <x:c r="H96" s="92"/>
      <x:c r="I96" s="92"/>
      <x:c r="J96" s="92"/>
      <x:c r="K96" s="92"/>
      <x:c r="L96" s="92"/>
      <x:c r="M96" s="92"/>
      <x:c r="N96" s="92"/>
      <x:c r="O96" s="92"/>
      <x:c r="P96" s="92"/>
      <x:c r="Q96" s="92"/>
      <x:c r="R96" s="92"/>
      <x:c r="S96" s="92"/>
      <x:c r="T96" s="92"/>
      <x:c r="U96" s="92"/>
      <x:c r="V96" s="92"/>
      <x:c r="W96" s="92"/>
      <x:c r="X96" s="92"/>
      <x:c r="Y96" s="92"/>
      <x:c r="Z96" s="92"/>
    </x:row>
    <x:row r="97">
      <x:c r="A97" s="92"/>
      <x:c r="B97" s="92"/>
      <x:c r="C97" s="92"/>
      <x:c r="D97" s="92"/>
      <x:c r="E97" s="92"/>
      <x:c r="F97" s="92"/>
      <x:c r="G97" s="92"/>
      <x:c r="H97" s="92"/>
      <x:c r="I97" s="92"/>
      <x:c r="J97" s="92"/>
      <x:c r="K97" s="92"/>
      <x:c r="L97" s="92"/>
      <x:c r="M97" s="92"/>
      <x:c r="N97" s="92"/>
      <x:c r="O97" s="92"/>
      <x:c r="P97" s="92"/>
      <x:c r="Q97" s="92"/>
      <x:c r="R97" s="92"/>
      <x:c r="S97" s="92"/>
      <x:c r="T97" s="92"/>
      <x:c r="U97" s="92"/>
      <x:c r="V97" s="92"/>
      <x:c r="W97" s="92"/>
      <x:c r="X97" s="92"/>
      <x:c r="Y97" s="92"/>
      <x:c r="Z97" s="92"/>
    </x:row>
    <x:row r="98">
      <x:c r="A98" s="92"/>
      <x:c r="B98" s="92"/>
      <x:c r="C98" s="92"/>
      <x:c r="D98" s="92"/>
      <x:c r="E98" s="92"/>
      <x:c r="F98" s="92"/>
      <x:c r="G98" s="92"/>
      <x:c r="H98" s="92"/>
      <x:c r="I98" s="92"/>
      <x:c r="J98" s="92"/>
      <x:c r="K98" s="92"/>
      <x:c r="L98" s="92"/>
      <x:c r="M98" s="92"/>
      <x:c r="N98" s="92"/>
      <x:c r="O98" s="92"/>
      <x:c r="P98" s="92"/>
      <x:c r="Q98" s="92"/>
      <x:c r="R98" s="92"/>
      <x:c r="S98" s="92"/>
      <x:c r="T98" s="92"/>
      <x:c r="U98" s="92"/>
      <x:c r="V98" s="92"/>
      <x:c r="W98" s="92"/>
      <x:c r="X98" s="92"/>
      <x:c r="Y98" s="92"/>
      <x:c r="Z98" s="92"/>
    </x:row>
    <x:row r="99">
      <x:c r="A99" s="92"/>
      <x:c r="B99" s="92"/>
      <x:c r="C99" s="92"/>
      <x:c r="D99" s="92"/>
      <x:c r="E99" s="92"/>
      <x:c r="F99" s="92"/>
      <x:c r="G99" s="92"/>
      <x:c r="H99" s="92"/>
      <x:c r="I99" s="92"/>
      <x:c r="J99" s="92"/>
      <x:c r="K99" s="92"/>
      <x:c r="L99" s="92"/>
      <x:c r="M99" s="92"/>
      <x:c r="N99" s="92"/>
      <x:c r="O99" s="92"/>
      <x:c r="P99" s="92"/>
      <x:c r="Q99" s="92"/>
      <x:c r="R99" s="92"/>
      <x:c r="S99" s="92"/>
      <x:c r="T99" s="92"/>
      <x:c r="U99" s="92"/>
      <x:c r="V99" s="92"/>
      <x:c r="W99" s="92"/>
      <x:c r="X99" s="92"/>
      <x:c r="Y99" s="92"/>
      <x:c r="Z99" s="92"/>
    </x:row>
    <x:row r="100">
      <x:c r="A100" s="92"/>
      <x:c r="B100" s="92"/>
      <x:c r="C100" s="92"/>
      <x:c r="D100" s="92"/>
      <x:c r="E100" s="92"/>
      <x:c r="F100" s="92"/>
      <x:c r="G100" s="92"/>
      <x:c r="H100" s="92"/>
      <x:c r="I100" s="92"/>
      <x:c r="J100" s="92"/>
      <x:c r="K100" s="92"/>
      <x:c r="L100" s="92"/>
      <x:c r="M100" s="92"/>
      <x:c r="N100" s="92"/>
      <x:c r="O100" s="92"/>
      <x:c r="P100" s="92"/>
      <x:c r="Q100" s="92"/>
      <x:c r="R100" s="92"/>
      <x:c r="S100" s="92"/>
      <x:c r="T100" s="92"/>
      <x:c r="U100" s="92"/>
      <x:c r="V100" s="92"/>
      <x:c r="W100" s="92"/>
      <x:c r="X100" s="92"/>
      <x:c r="Y100" s="92"/>
      <x:c r="Z100" s="92"/>
    </x:row>
    <x:row r="101">
      <x:c r="A101" s="92"/>
      <x:c r="B101" s="92"/>
      <x:c r="C101" s="92"/>
      <x:c r="D101" s="92"/>
      <x:c r="E101" s="92"/>
      <x:c r="F101" s="92"/>
      <x:c r="G101" s="92"/>
      <x:c r="H101" s="92"/>
      <x:c r="I101" s="92"/>
      <x:c r="J101" s="92"/>
      <x:c r="K101" s="92"/>
      <x:c r="L101" s="92"/>
      <x:c r="M101" s="92"/>
      <x:c r="N101" s="92"/>
      <x:c r="O101" s="92"/>
      <x:c r="P101" s="92"/>
      <x:c r="Q101" s="92"/>
      <x:c r="R101" s="92"/>
      <x:c r="S101" s="92"/>
      <x:c r="T101" s="92"/>
      <x:c r="U101" s="92"/>
      <x:c r="V101" s="92"/>
      <x:c r="W101" s="92"/>
      <x:c r="X101" s="92"/>
      <x:c r="Y101" s="92"/>
      <x:c r="Z101" s="92"/>
    </x:row>
    <x:row r="102">
      <x:c r="A102" s="92"/>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2"/>
      <x:c r="X102" s="92"/>
      <x:c r="Y102" s="92"/>
      <x:c r="Z102" s="92"/>
    </x:row>
    <x:row r="103">
      <x:c r="A103" s="92"/>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2"/>
      <x:c r="X103" s="92"/>
      <x:c r="Y103" s="92"/>
      <x:c r="Z103" s="92"/>
    </x:row>
    <x:row r="104">
      <x:c r="A104" s="92"/>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2"/>
      <x:c r="X104" s="92"/>
      <x:c r="Y104" s="92"/>
      <x:c r="Z104" s="92"/>
    </x:row>
    <x:row r="105">
      <x:c r="A105" s="92"/>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2"/>
      <x:c r="X105" s="92"/>
      <x:c r="Y105" s="92"/>
      <x:c r="Z105" s="92"/>
    </x:row>
    <x:row r="106">
      <x:c r="A106" s="92"/>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2"/>
      <x:c r="X106" s="92"/>
      <x:c r="Y106" s="92"/>
      <x:c r="Z106" s="92"/>
    </x:row>
    <x:row r="107">
      <x:c r="A107" s="92"/>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2"/>
      <x:c r="X107" s="92"/>
      <x:c r="Y107" s="92"/>
      <x:c r="Z107" s="92"/>
    </x:row>
    <x:row r="108">
      <x:c r="A108" s="92"/>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2"/>
      <x:c r="X108" s="92"/>
      <x:c r="Y108" s="92"/>
      <x:c r="Z108" s="92"/>
    </x:row>
    <x:row r="109">
      <x:c r="A109" s="92"/>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2"/>
      <x:c r="X109" s="92"/>
      <x:c r="Y109" s="92"/>
      <x:c r="Z109" s="92"/>
    </x:row>
    <x:row r="110">
      <x:c r="A110" s="92"/>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2"/>
      <x:c r="X110" s="92"/>
      <x:c r="Y110" s="92"/>
      <x:c r="Z110" s="92"/>
    </x:row>
    <x:row r="111">
      <x:c r="A111" s="92"/>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2"/>
      <x:c r="X111" s="92"/>
      <x:c r="Y111" s="92"/>
      <x:c r="Z111" s="92"/>
    </x:row>
    <x:row r="112">
      <x:c r="A112" s="92"/>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2"/>
      <x:c r="X112" s="92"/>
      <x:c r="Y112" s="92"/>
      <x:c r="Z112" s="92"/>
    </x:row>
    <x:row r="113">
      <x:c r="A113" s="92"/>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2"/>
      <x:c r="X113" s="92"/>
      <x:c r="Y113" s="92"/>
      <x:c r="Z113" s="92"/>
    </x:row>
    <x:row r="114">
      <x:c r="A114" s="92"/>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2"/>
      <x:c r="X114" s="92"/>
      <x:c r="Y114" s="92"/>
      <x:c r="Z114" s="92"/>
    </x:row>
    <x:row r="115">
      <x:c r="A115" s="92"/>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2"/>
      <x:c r="X115" s="92"/>
      <x:c r="Y115" s="92"/>
      <x:c r="Z115" s="92"/>
    </x:row>
    <x:row r="116">
      <x:c r="A116" s="92"/>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2"/>
      <x:c r="X116" s="92"/>
      <x:c r="Y116" s="92"/>
      <x:c r="Z116" s="92"/>
    </x:row>
    <x:row r="117">
      <x:c r="A117" s="92"/>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2"/>
      <x:c r="X117" s="92"/>
      <x:c r="Y117" s="92"/>
      <x:c r="Z117" s="92"/>
    </x:row>
    <x:row r="118">
      <x:c r="A118" s="92"/>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2"/>
      <x:c r="X118" s="92"/>
      <x:c r="Y118" s="92"/>
      <x:c r="Z118" s="92"/>
    </x:row>
    <x:row r="119">
      <x:c r="A119" s="92"/>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2"/>
      <x:c r="X119" s="92"/>
      <x:c r="Y119" s="92"/>
      <x:c r="Z119" s="92"/>
    </x:row>
    <x:row r="120">
      <x:c r="A120" s="92"/>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2"/>
      <x:c r="X120" s="92"/>
      <x:c r="Y120" s="92"/>
      <x:c r="Z120" s="92"/>
    </x:row>
    <x:row r="121">
      <x:c r="A121" s="92"/>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2"/>
      <x:c r="X121" s="92"/>
      <x:c r="Y121" s="92"/>
      <x:c r="Z121" s="92"/>
    </x:row>
    <x:row r="122">
      <x:c r="A122" s="92"/>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2"/>
      <x:c r="X122" s="92"/>
      <x:c r="Y122" s="92"/>
      <x:c r="Z122" s="92"/>
    </x:row>
    <x:row r="123">
      <x:c r="A123" s="92"/>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2"/>
      <x:c r="X123" s="92"/>
      <x:c r="Y123" s="92"/>
      <x:c r="Z123" s="92"/>
    </x:row>
    <x:row r="124">
      <x:c r="A124" s="92"/>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2"/>
      <x:c r="X124" s="92"/>
      <x:c r="Y124" s="92"/>
      <x:c r="Z124" s="92"/>
    </x:row>
    <x:row r="125">
      <x:c r="A125" s="92"/>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2"/>
      <x:c r="X125" s="92"/>
      <x:c r="Y125" s="92"/>
      <x:c r="Z125" s="92"/>
    </x:row>
    <x:row r="126">
      <x:c r="A126" s="92"/>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2"/>
      <x:c r="X126" s="92"/>
      <x:c r="Y126" s="92"/>
      <x:c r="Z126" s="92"/>
    </x:row>
    <x:row r="127">
      <x:c r="A127" s="92"/>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2"/>
      <x:c r="X127" s="92"/>
      <x:c r="Y127" s="92"/>
      <x:c r="Z127" s="92"/>
    </x:row>
    <x:row r="128">
      <x:c r="A128" s="92"/>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2"/>
      <x:c r="X128" s="92"/>
      <x:c r="Y128" s="92"/>
      <x:c r="Z128" s="92"/>
    </x:row>
    <x:row r="129">
      <x:c r="A129" s="92"/>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2"/>
      <x:c r="X129" s="92"/>
      <x:c r="Y129" s="92"/>
      <x:c r="Z129" s="92"/>
    </x:row>
    <x:row r="130">
      <x:c r="A130" s="92"/>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2"/>
      <x:c r="X130" s="92"/>
      <x:c r="Y130" s="92"/>
      <x:c r="Z130" s="92"/>
    </x:row>
    <x:row r="131">
      <x:c r="A131" s="92"/>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2"/>
      <x:c r="X131" s="92"/>
      <x:c r="Y131" s="92"/>
      <x:c r="Z131" s="92"/>
    </x:row>
    <x:row r="132">
      <x:c r="A132" s="92"/>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2"/>
      <x:c r="X132" s="92"/>
      <x:c r="Y132" s="92"/>
      <x:c r="Z132" s="92"/>
    </x:row>
    <x:row r="133">
      <x:c r="A133" s="92"/>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2"/>
      <x:c r="X133" s="92"/>
      <x:c r="Y133" s="92"/>
      <x:c r="Z133" s="92"/>
    </x:row>
    <x:row r="134">
      <x:c r="A134" s="92"/>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2"/>
      <x:c r="X134" s="92"/>
      <x:c r="Y134" s="92"/>
      <x:c r="Z134" s="92"/>
    </x:row>
    <x:row r="135">
      <x:c r="A135" s="92"/>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2"/>
      <x:c r="X135" s="92"/>
      <x:c r="Y135" s="92"/>
      <x:c r="Z135" s="92"/>
    </x:row>
    <x:row r="136">
      <x:c r="A136" s="92"/>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2"/>
      <x:c r="X136" s="92"/>
      <x:c r="Y136" s="92"/>
      <x:c r="Z136" s="92"/>
    </x:row>
    <x:row r="137">
      <x:c r="A137" s="92"/>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2"/>
      <x:c r="X137" s="92"/>
      <x:c r="Y137" s="92"/>
      <x:c r="Z137" s="92"/>
    </x:row>
    <x:row r="138">
      <x:c r="A138" s="92"/>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2"/>
      <x:c r="X138" s="92"/>
      <x:c r="Y138" s="92"/>
      <x:c r="Z138" s="92"/>
    </x:row>
    <x:row r="139">
      <x:c r="A139" s="92"/>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2"/>
      <x:c r="X139" s="92"/>
      <x:c r="Y139" s="92"/>
      <x:c r="Z139" s="92"/>
    </x:row>
    <x:row r="140">
      <x:c r="A140" s="92"/>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2"/>
      <x:c r="X140" s="92"/>
      <x:c r="Y140" s="92"/>
      <x:c r="Z140" s="92"/>
    </x:row>
    <x:row r="141">
      <x:c r="A141" s="92"/>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2"/>
      <x:c r="X141" s="92"/>
      <x:c r="Y141" s="92"/>
      <x:c r="Z141" s="92"/>
    </x:row>
    <x:row r="142">
      <x:c r="A142" s="92"/>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2"/>
      <x:c r="X142" s="92"/>
      <x:c r="Y142" s="92"/>
      <x:c r="Z142" s="92"/>
    </x:row>
    <x:row r="143">
      <x:c r="A143" s="92"/>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2"/>
      <x:c r="X143" s="92"/>
      <x:c r="Y143" s="92"/>
      <x:c r="Z143" s="92"/>
    </x:row>
    <x:row r="144">
      <x:c r="A144" s="92"/>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2"/>
      <x:c r="X144" s="92"/>
      <x:c r="Y144" s="92"/>
      <x:c r="Z144" s="92"/>
    </x:row>
    <x:row r="145">
      <x:c r="A145" s="92"/>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2"/>
      <x:c r="X145" s="92"/>
      <x:c r="Y145" s="92"/>
      <x:c r="Z145" s="92"/>
    </x:row>
    <x:row r="146">
      <x:c r="A146" s="92"/>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2"/>
      <x:c r="X146" s="92"/>
      <x:c r="Y146" s="92"/>
      <x:c r="Z146" s="92"/>
    </x:row>
    <x:row r="147">
      <x:c r="A147" s="92"/>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2"/>
      <x:c r="X147" s="92"/>
      <x:c r="Y147" s="92"/>
      <x:c r="Z147" s="92"/>
    </x:row>
    <x:row r="148">
      <x:c r="A148" s="92"/>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2"/>
      <x:c r="X148" s="92"/>
      <x:c r="Y148" s="92"/>
      <x:c r="Z148" s="92"/>
    </x:row>
    <x:row r="149">
      <x:c r="A149" s="92"/>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2"/>
      <x:c r="X149" s="92"/>
      <x:c r="Y149" s="92"/>
      <x:c r="Z149" s="92"/>
    </x:row>
    <x:row r="150">
      <x:c r="A150" s="92"/>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2"/>
      <x:c r="X150" s="92"/>
      <x:c r="Y150" s="92"/>
      <x:c r="Z150" s="92"/>
    </x:row>
    <x:row r="151">
      <x:c r="A151" s="92"/>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2"/>
      <x:c r="X151" s="92"/>
      <x:c r="Y151" s="92"/>
      <x:c r="Z151" s="92"/>
    </x:row>
    <x:row r="152">
      <x:c r="A152" s="92"/>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2"/>
      <x:c r="X152" s="92"/>
      <x:c r="Y152" s="92"/>
      <x:c r="Z152" s="92"/>
    </x:row>
    <x:row r="153">
      <x:c r="A153" s="92"/>
      <x:c r="B153" s="92"/>
      <x:c r="C153" s="92"/>
      <x:c r="D153" s="92"/>
      <x:c r="E153" s="92"/>
      <x:c r="F153" s="92"/>
      <x:c r="G153" s="92"/>
      <x:c r="H153" s="92"/>
      <x:c r="I153" s="92"/>
      <x:c r="J153" s="92"/>
      <x:c r="K153" s="92"/>
      <x:c r="L153" s="92"/>
      <x:c r="M153" s="92"/>
      <x:c r="N153" s="92"/>
      <x:c r="O153" s="92"/>
      <x:c r="P153" s="92"/>
      <x:c r="Q153" s="92"/>
      <x:c r="R153" s="92"/>
      <x:c r="S153" s="92"/>
      <x:c r="T153" s="92"/>
      <x:c r="U153" s="92"/>
      <x:c r="V153" s="92"/>
      <x:c r="W153" s="92"/>
      <x:c r="X153" s="92"/>
      <x:c r="Y153" s="92"/>
      <x:c r="Z153" s="92"/>
    </x:row>
    <x:row r="154">
      <x:c r="A154" s="92"/>
      <x:c r="B154" s="92"/>
      <x:c r="C154" s="92"/>
      <x:c r="D154" s="92"/>
      <x:c r="E154" s="92"/>
      <x:c r="F154" s="92"/>
      <x:c r="G154" s="92"/>
      <x:c r="H154" s="92"/>
      <x:c r="I154" s="92"/>
      <x:c r="J154" s="92"/>
      <x:c r="K154" s="92"/>
      <x:c r="L154" s="92"/>
      <x:c r="M154" s="92"/>
      <x:c r="N154" s="92"/>
      <x:c r="O154" s="92"/>
      <x:c r="P154" s="92"/>
      <x:c r="Q154" s="92"/>
      <x:c r="R154" s="92"/>
      <x:c r="S154" s="92"/>
      <x:c r="T154" s="92"/>
      <x:c r="U154" s="92"/>
      <x:c r="V154" s="92"/>
      <x:c r="W154" s="92"/>
      <x:c r="X154" s="92"/>
      <x:c r="Y154" s="92"/>
      <x:c r="Z154" s="92"/>
    </x:row>
    <x:row r="155">
      <x:c r="A155" s="92"/>
      <x:c r="B155" s="92"/>
      <x:c r="C155" s="92"/>
      <x:c r="D155" s="92"/>
      <x:c r="E155" s="92"/>
      <x:c r="F155" s="92"/>
      <x:c r="G155" s="92"/>
      <x:c r="H155" s="92"/>
      <x:c r="I155" s="92"/>
      <x:c r="J155" s="92"/>
      <x:c r="K155" s="92"/>
      <x:c r="L155" s="92"/>
      <x:c r="M155" s="92"/>
      <x:c r="N155" s="92"/>
      <x:c r="O155" s="92"/>
      <x:c r="P155" s="92"/>
      <x:c r="Q155" s="92"/>
      <x:c r="R155" s="92"/>
      <x:c r="S155" s="92"/>
      <x:c r="T155" s="92"/>
      <x:c r="U155" s="92"/>
      <x:c r="V155" s="92"/>
      <x:c r="W155" s="92"/>
      <x:c r="X155" s="92"/>
      <x:c r="Y155" s="92"/>
      <x:c r="Z155" s="92"/>
    </x:row>
    <x:row r="156">
      <x:c r="A156" s="92"/>
      <x:c r="B156" s="92"/>
      <x:c r="C156" s="92"/>
      <x:c r="D156" s="92"/>
      <x:c r="E156" s="92"/>
      <x:c r="F156" s="92"/>
      <x:c r="G156" s="92"/>
      <x:c r="H156" s="92"/>
      <x:c r="I156" s="92"/>
      <x:c r="J156" s="92"/>
      <x:c r="K156" s="92"/>
      <x:c r="L156" s="92"/>
      <x:c r="M156" s="92"/>
      <x:c r="N156" s="92"/>
      <x:c r="O156" s="92"/>
      <x:c r="P156" s="92"/>
      <x:c r="Q156" s="92"/>
      <x:c r="R156" s="92"/>
      <x:c r="S156" s="92"/>
      <x:c r="T156" s="92"/>
      <x:c r="U156" s="92"/>
      <x:c r="V156" s="92"/>
      <x:c r="W156" s="92"/>
      <x:c r="X156" s="92"/>
      <x:c r="Y156" s="92"/>
      <x:c r="Z156" s="92"/>
    </x:row>
    <x:row r="157">
      <x:c r="A157" s="92"/>
      <x:c r="B157" s="92"/>
      <x:c r="C157" s="92"/>
      <x:c r="D157" s="92"/>
      <x:c r="E157" s="92"/>
      <x:c r="F157" s="92"/>
      <x:c r="G157" s="92"/>
      <x:c r="H157" s="92"/>
      <x:c r="I157" s="92"/>
      <x:c r="J157" s="92"/>
      <x:c r="K157" s="92"/>
      <x:c r="L157" s="92"/>
      <x:c r="M157" s="92"/>
      <x:c r="N157" s="92"/>
      <x:c r="O157" s="92"/>
      <x:c r="P157" s="92"/>
      <x:c r="Q157" s="92"/>
      <x:c r="R157" s="92"/>
      <x:c r="S157" s="92"/>
      <x:c r="T157" s="92"/>
      <x:c r="U157" s="92"/>
      <x:c r="V157" s="92"/>
      <x:c r="W157" s="92"/>
      <x:c r="X157" s="92"/>
      <x:c r="Y157" s="92"/>
      <x:c r="Z157" s="92"/>
    </x:row>
    <x:row r="158">
      <x:c r="A158" s="92"/>
      <x:c r="B158" s="92"/>
      <x:c r="C158" s="92"/>
      <x:c r="D158" s="92"/>
      <x:c r="E158" s="92"/>
      <x:c r="F158" s="92"/>
      <x:c r="G158" s="92"/>
      <x:c r="H158" s="92"/>
      <x:c r="I158" s="92"/>
      <x:c r="J158" s="92"/>
      <x:c r="K158" s="92"/>
      <x:c r="L158" s="92"/>
      <x:c r="M158" s="92"/>
      <x:c r="N158" s="92"/>
      <x:c r="O158" s="92"/>
      <x:c r="P158" s="92"/>
      <x:c r="Q158" s="92"/>
      <x:c r="R158" s="92"/>
      <x:c r="S158" s="92"/>
      <x:c r="T158" s="92"/>
      <x:c r="U158" s="92"/>
      <x:c r="V158" s="92"/>
      <x:c r="W158" s="92"/>
      <x:c r="X158" s="92"/>
      <x:c r="Y158" s="92"/>
      <x:c r="Z158" s="92"/>
    </x:row>
    <x:row r="159">
      <x:c r="A159" s="92"/>
      <x:c r="B159" s="92"/>
      <x:c r="C159" s="92"/>
      <x:c r="D159" s="92"/>
      <x:c r="E159" s="92"/>
      <x:c r="F159" s="92"/>
      <x:c r="G159" s="92"/>
      <x:c r="H159" s="92"/>
      <x:c r="I159" s="92"/>
      <x:c r="J159" s="92"/>
      <x:c r="K159" s="92"/>
      <x:c r="L159" s="92"/>
      <x:c r="M159" s="92"/>
      <x:c r="N159" s="92"/>
      <x:c r="O159" s="92"/>
      <x:c r="P159" s="92"/>
      <x:c r="Q159" s="92"/>
      <x:c r="R159" s="92"/>
      <x:c r="S159" s="92"/>
      <x:c r="T159" s="92"/>
      <x:c r="U159" s="92"/>
      <x:c r="V159" s="92"/>
      <x:c r="W159" s="92"/>
      <x:c r="X159" s="92"/>
      <x:c r="Y159" s="92"/>
      <x:c r="Z159" s="92"/>
    </x:row>
    <x:row r="160">
      <x:c r="A160" s="92"/>
      <x:c r="B160" s="92"/>
      <x:c r="C160" s="92"/>
      <x:c r="D160" s="92"/>
      <x:c r="E160" s="92"/>
      <x:c r="F160" s="92"/>
      <x:c r="G160" s="92"/>
      <x:c r="H160" s="92"/>
      <x:c r="I160" s="92"/>
      <x:c r="J160" s="92"/>
      <x:c r="K160" s="92"/>
      <x:c r="L160" s="92"/>
      <x:c r="M160" s="92"/>
      <x:c r="N160" s="92"/>
      <x:c r="O160" s="92"/>
      <x:c r="P160" s="92"/>
      <x:c r="Q160" s="92"/>
      <x:c r="R160" s="92"/>
      <x:c r="S160" s="92"/>
      <x:c r="T160" s="92"/>
      <x:c r="U160" s="92"/>
      <x:c r="V160" s="92"/>
      <x:c r="W160" s="92"/>
      <x:c r="X160" s="92"/>
      <x:c r="Y160" s="92"/>
      <x:c r="Z160" s="92"/>
    </x:row>
    <x:row r="161">
      <x:c r="A161" s="92"/>
      <x:c r="B161" s="92"/>
      <x:c r="C161" s="92"/>
      <x:c r="D161" s="92"/>
      <x:c r="E161" s="92"/>
      <x:c r="F161" s="92"/>
      <x:c r="G161" s="92"/>
      <x:c r="H161" s="92"/>
      <x:c r="I161" s="92"/>
      <x:c r="J161" s="92"/>
      <x:c r="K161" s="92"/>
      <x:c r="L161" s="92"/>
      <x:c r="M161" s="92"/>
      <x:c r="N161" s="92"/>
      <x:c r="O161" s="92"/>
      <x:c r="P161" s="92"/>
      <x:c r="Q161" s="92"/>
      <x:c r="R161" s="92"/>
      <x:c r="S161" s="92"/>
      <x:c r="T161" s="92"/>
      <x:c r="U161" s="92"/>
      <x:c r="V161" s="92"/>
      <x:c r="W161" s="92"/>
      <x:c r="X161" s="92"/>
      <x:c r="Y161" s="92"/>
      <x:c r="Z161" s="92"/>
    </x:row>
    <x:row r="162">
      <x:c r="A162" s="92"/>
      <x:c r="B162" s="92"/>
      <x:c r="C162" s="92"/>
      <x:c r="D162" s="92"/>
      <x:c r="E162" s="92"/>
      <x:c r="F162" s="92"/>
      <x:c r="G162" s="92"/>
      <x:c r="H162" s="92"/>
      <x:c r="I162" s="92"/>
      <x:c r="J162" s="92"/>
      <x:c r="K162" s="92"/>
      <x:c r="L162" s="92"/>
      <x:c r="M162" s="92"/>
      <x:c r="N162" s="92"/>
      <x:c r="O162" s="92"/>
      <x:c r="P162" s="92"/>
      <x:c r="Q162" s="92"/>
      <x:c r="R162" s="92"/>
      <x:c r="S162" s="92"/>
      <x:c r="T162" s="92"/>
      <x:c r="U162" s="92"/>
      <x:c r="V162" s="92"/>
      <x:c r="W162" s="92"/>
      <x:c r="X162" s="92"/>
      <x:c r="Y162" s="92"/>
      <x:c r="Z162" s="92"/>
    </x:row>
    <x:row r="163">
      <x:c r="A163" s="92"/>
      <x:c r="B163" s="92"/>
      <x:c r="C163" s="92"/>
      <x:c r="D163" s="92"/>
      <x:c r="E163" s="92"/>
      <x:c r="F163" s="92"/>
      <x:c r="G163" s="92"/>
      <x:c r="H163" s="92"/>
      <x:c r="I163" s="92"/>
      <x:c r="J163" s="92"/>
      <x:c r="K163" s="92"/>
      <x:c r="L163" s="92"/>
      <x:c r="M163" s="92"/>
      <x:c r="N163" s="92"/>
      <x:c r="O163" s="92"/>
      <x:c r="P163" s="92"/>
      <x:c r="Q163" s="92"/>
      <x:c r="R163" s="92"/>
      <x:c r="S163" s="92"/>
      <x:c r="T163" s="92"/>
      <x:c r="U163" s="92"/>
      <x:c r="V163" s="92"/>
      <x:c r="W163" s="92"/>
      <x:c r="X163" s="92"/>
      <x:c r="Y163" s="92"/>
      <x:c r="Z163" s="92"/>
    </x:row>
    <x:row r="164">
      <x:c r="A164" s="92"/>
      <x:c r="B164" s="92"/>
      <x:c r="C164" s="92"/>
      <x:c r="D164" s="92"/>
      <x:c r="E164" s="92"/>
      <x:c r="F164" s="92"/>
      <x:c r="G164" s="92"/>
      <x:c r="H164" s="92"/>
      <x:c r="I164" s="92"/>
      <x:c r="J164" s="92"/>
      <x:c r="K164" s="92"/>
      <x:c r="L164" s="92"/>
      <x:c r="M164" s="92"/>
      <x:c r="N164" s="92"/>
      <x:c r="O164" s="92"/>
      <x:c r="P164" s="92"/>
      <x:c r="Q164" s="92"/>
      <x:c r="R164" s="92"/>
      <x:c r="S164" s="92"/>
      <x:c r="T164" s="92"/>
      <x:c r="U164" s="92"/>
      <x:c r="V164" s="92"/>
      <x:c r="W164" s="92"/>
      <x:c r="X164" s="92"/>
      <x:c r="Y164" s="92"/>
      <x:c r="Z164" s="92"/>
    </x:row>
    <x:row r="165">
      <x:c r="A165" s="92"/>
      <x:c r="B165" s="92"/>
      <x:c r="C165" s="92"/>
      <x:c r="D165" s="92"/>
      <x:c r="E165" s="92"/>
      <x:c r="F165" s="92"/>
      <x:c r="G165" s="92"/>
      <x:c r="H165" s="92"/>
      <x:c r="I165" s="92"/>
      <x:c r="J165" s="92"/>
      <x:c r="K165" s="92"/>
      <x:c r="L165" s="92"/>
      <x:c r="M165" s="92"/>
      <x:c r="N165" s="92"/>
      <x:c r="O165" s="92"/>
      <x:c r="P165" s="92"/>
      <x:c r="Q165" s="92"/>
      <x:c r="R165" s="92"/>
      <x:c r="S165" s="92"/>
      <x:c r="T165" s="92"/>
      <x:c r="U165" s="92"/>
      <x:c r="V165" s="92"/>
      <x:c r="W165" s="92"/>
      <x:c r="X165" s="92"/>
      <x:c r="Y165" s="92"/>
      <x:c r="Z165" s="92"/>
    </x:row>
    <x:row r="166">
      <x:c r="A166" s="92"/>
      <x:c r="B166" s="92"/>
      <x:c r="C166" s="92"/>
      <x:c r="D166" s="92"/>
      <x:c r="E166" s="92"/>
      <x:c r="F166" s="92"/>
      <x:c r="G166" s="92"/>
      <x:c r="H166" s="92"/>
      <x:c r="I166" s="92"/>
      <x:c r="J166" s="92"/>
      <x:c r="K166" s="92"/>
      <x:c r="L166" s="92"/>
      <x:c r="M166" s="92"/>
      <x:c r="N166" s="92"/>
      <x:c r="O166" s="92"/>
      <x:c r="P166" s="92"/>
      <x:c r="Q166" s="92"/>
      <x:c r="R166" s="92"/>
      <x:c r="S166" s="92"/>
      <x:c r="T166" s="92"/>
      <x:c r="U166" s="92"/>
      <x:c r="V166" s="92"/>
      <x:c r="W166" s="92"/>
      <x:c r="X166" s="92"/>
      <x:c r="Y166" s="92"/>
      <x:c r="Z166" s="92"/>
    </x:row>
    <x:row r="167">
      <x:c r="A167" s="92"/>
      <x:c r="B167" s="92"/>
      <x:c r="C167" s="92"/>
      <x:c r="D167" s="92"/>
      <x:c r="E167" s="92"/>
      <x:c r="F167" s="92"/>
      <x:c r="G167" s="92"/>
      <x:c r="H167" s="92"/>
      <x:c r="I167" s="92"/>
      <x:c r="J167" s="92"/>
      <x:c r="K167" s="92"/>
      <x:c r="L167" s="92"/>
      <x:c r="M167" s="92"/>
      <x:c r="N167" s="92"/>
      <x:c r="O167" s="92"/>
      <x:c r="P167" s="92"/>
      <x:c r="Q167" s="92"/>
      <x:c r="R167" s="92"/>
      <x:c r="S167" s="92"/>
      <x:c r="T167" s="92"/>
      <x:c r="U167" s="92"/>
      <x:c r="V167" s="92"/>
      <x:c r="W167" s="92"/>
      <x:c r="X167" s="92"/>
      <x:c r="Y167" s="92"/>
      <x:c r="Z167" s="92"/>
    </x:row>
    <x:row r="168">
      <x:c r="A168" s="92"/>
      <x:c r="B168" s="92"/>
      <x:c r="C168" s="92"/>
      <x:c r="D168" s="92"/>
      <x:c r="E168" s="92"/>
      <x:c r="F168" s="92"/>
      <x:c r="G168" s="92"/>
      <x:c r="H168" s="92"/>
      <x:c r="I168" s="92"/>
      <x:c r="J168" s="92"/>
      <x:c r="K168" s="92"/>
      <x:c r="L168" s="92"/>
      <x:c r="M168" s="92"/>
      <x:c r="N168" s="92"/>
      <x:c r="O168" s="92"/>
      <x:c r="P168" s="92"/>
      <x:c r="Q168" s="92"/>
      <x:c r="R168" s="92"/>
      <x:c r="S168" s="92"/>
      <x:c r="T168" s="92"/>
      <x:c r="U168" s="92"/>
      <x:c r="V168" s="92"/>
      <x:c r="W168" s="92"/>
      <x:c r="X168" s="92"/>
      <x:c r="Y168" s="92"/>
      <x:c r="Z168" s="92"/>
    </x:row>
    <x:row r="169">
      <x:c r="A169" s="92"/>
      <x:c r="B169" s="92"/>
      <x:c r="C169" s="92"/>
      <x:c r="D169" s="92"/>
      <x:c r="E169" s="92"/>
      <x:c r="F169" s="92"/>
      <x:c r="G169" s="92"/>
      <x:c r="H169" s="92"/>
      <x:c r="I169" s="92"/>
      <x:c r="J169" s="92"/>
      <x:c r="K169" s="92"/>
      <x:c r="L169" s="92"/>
      <x:c r="M169" s="92"/>
      <x:c r="N169" s="92"/>
      <x:c r="O169" s="92"/>
      <x:c r="P169" s="92"/>
      <x:c r="Q169" s="92"/>
      <x:c r="R169" s="92"/>
      <x:c r="S169" s="92"/>
      <x:c r="T169" s="92"/>
      <x:c r="U169" s="92"/>
      <x:c r="V169" s="92"/>
      <x:c r="W169" s="92"/>
      <x:c r="X169" s="92"/>
      <x:c r="Y169" s="92"/>
      <x:c r="Z169" s="92"/>
    </x:row>
    <x:row r="170">
      <x:c r="A170" s="92"/>
      <x:c r="B170" s="92"/>
      <x:c r="C170" s="92"/>
      <x:c r="D170" s="92"/>
      <x:c r="E170" s="92"/>
      <x:c r="F170" s="92"/>
      <x:c r="G170" s="92"/>
      <x:c r="H170" s="92"/>
      <x:c r="I170" s="92"/>
      <x:c r="J170" s="92"/>
      <x:c r="K170" s="92"/>
      <x:c r="L170" s="92"/>
      <x:c r="M170" s="92"/>
      <x:c r="N170" s="92"/>
      <x:c r="O170" s="92"/>
      <x:c r="P170" s="92"/>
      <x:c r="Q170" s="92"/>
      <x:c r="R170" s="92"/>
      <x:c r="S170" s="92"/>
      <x:c r="T170" s="92"/>
      <x:c r="U170" s="92"/>
      <x:c r="V170" s="92"/>
      <x:c r="W170" s="92"/>
      <x:c r="X170" s="92"/>
      <x:c r="Y170" s="92"/>
      <x:c r="Z170" s="92"/>
    </x:row>
    <x:row r="171">
      <x:c r="A171" s="92"/>
      <x:c r="B171" s="92"/>
      <x:c r="C171" s="92"/>
      <x:c r="D171" s="92"/>
      <x:c r="E171" s="92"/>
      <x:c r="F171" s="92"/>
      <x:c r="G171" s="92"/>
      <x:c r="H171" s="92"/>
      <x:c r="I171" s="92"/>
      <x:c r="J171" s="92"/>
      <x:c r="K171" s="92"/>
      <x:c r="L171" s="92"/>
      <x:c r="M171" s="92"/>
      <x:c r="N171" s="92"/>
      <x:c r="O171" s="92"/>
      <x:c r="P171" s="92"/>
      <x:c r="Q171" s="92"/>
      <x:c r="R171" s="92"/>
      <x:c r="S171" s="92"/>
      <x:c r="T171" s="92"/>
      <x:c r="U171" s="92"/>
      <x:c r="V171" s="92"/>
      <x:c r="W171" s="92"/>
      <x:c r="X171" s="92"/>
      <x:c r="Y171" s="92"/>
      <x:c r="Z171" s="92"/>
    </x:row>
    <x:row r="172">
      <x:c r="A172" s="92"/>
      <x:c r="B172" s="92"/>
      <x:c r="C172" s="92"/>
      <x:c r="D172" s="92"/>
      <x:c r="E172" s="92"/>
      <x:c r="F172" s="92"/>
      <x:c r="G172" s="92"/>
      <x:c r="H172" s="92"/>
      <x:c r="I172" s="92"/>
      <x:c r="J172" s="92"/>
      <x:c r="K172" s="92"/>
      <x:c r="L172" s="92"/>
      <x:c r="M172" s="92"/>
      <x:c r="N172" s="92"/>
      <x:c r="O172" s="92"/>
      <x:c r="P172" s="92"/>
      <x:c r="Q172" s="92"/>
      <x:c r="R172" s="92"/>
      <x:c r="S172" s="92"/>
      <x:c r="T172" s="92"/>
      <x:c r="U172" s="92"/>
      <x:c r="V172" s="92"/>
      <x:c r="W172" s="92"/>
      <x:c r="X172" s="92"/>
      <x:c r="Y172" s="92"/>
      <x:c r="Z172" s="92"/>
    </x:row>
    <x:row r="173">
      <x:c r="A173" s="92"/>
      <x:c r="B173" s="92"/>
      <x:c r="C173" s="92"/>
      <x:c r="D173" s="92"/>
      <x:c r="E173" s="92"/>
      <x:c r="F173" s="92"/>
      <x:c r="G173" s="92"/>
      <x:c r="H173" s="92"/>
      <x:c r="I173" s="92"/>
      <x:c r="J173" s="92"/>
      <x:c r="K173" s="92"/>
      <x:c r="L173" s="92"/>
      <x:c r="M173" s="92"/>
      <x:c r="N173" s="92"/>
      <x:c r="O173" s="92"/>
      <x:c r="P173" s="92"/>
      <x:c r="Q173" s="92"/>
      <x:c r="R173" s="92"/>
      <x:c r="S173" s="92"/>
      <x:c r="T173" s="92"/>
      <x:c r="U173" s="92"/>
      <x:c r="V173" s="92"/>
      <x:c r="W173" s="92"/>
      <x:c r="X173" s="92"/>
      <x:c r="Y173" s="92"/>
      <x:c r="Z173" s="92"/>
    </x:row>
    <x:row r="174">
      <x:c r="A174" s="92"/>
      <x:c r="B174" s="92"/>
      <x:c r="C174" s="92"/>
      <x:c r="D174" s="92"/>
      <x:c r="E174" s="92"/>
      <x:c r="F174" s="92"/>
      <x:c r="G174" s="92"/>
      <x:c r="H174" s="92"/>
      <x:c r="I174" s="92"/>
      <x:c r="J174" s="92"/>
      <x:c r="K174" s="92"/>
      <x:c r="L174" s="92"/>
      <x:c r="M174" s="92"/>
      <x:c r="N174" s="92"/>
      <x:c r="O174" s="92"/>
      <x:c r="P174" s="92"/>
      <x:c r="Q174" s="92"/>
      <x:c r="R174" s="92"/>
      <x:c r="S174" s="92"/>
      <x:c r="T174" s="92"/>
      <x:c r="U174" s="92"/>
      <x:c r="V174" s="92"/>
      <x:c r="W174" s="92"/>
      <x:c r="X174" s="92"/>
      <x:c r="Y174" s="92"/>
      <x:c r="Z174" s="92"/>
    </x:row>
    <x:row r="175">
      <x:c r="A175" s="92"/>
      <x:c r="B175" s="92"/>
      <x:c r="C175" s="92"/>
      <x:c r="D175" s="92"/>
      <x:c r="E175" s="92"/>
      <x:c r="F175" s="92"/>
      <x:c r="G175" s="92"/>
      <x:c r="H175" s="92"/>
      <x:c r="I175" s="92"/>
      <x:c r="J175" s="92"/>
      <x:c r="K175" s="92"/>
      <x:c r="L175" s="92"/>
      <x:c r="M175" s="92"/>
      <x:c r="N175" s="92"/>
      <x:c r="O175" s="92"/>
      <x:c r="P175" s="92"/>
      <x:c r="Q175" s="92"/>
      <x:c r="R175" s="92"/>
      <x:c r="S175" s="92"/>
      <x:c r="T175" s="92"/>
      <x:c r="U175" s="92"/>
      <x:c r="V175" s="92"/>
      <x:c r="W175" s="92"/>
      <x:c r="X175" s="92"/>
      <x:c r="Y175" s="92"/>
      <x:c r="Z175" s="92"/>
    </x:row>
    <x:row r="176">
      <x:c r="A176" s="92"/>
      <x:c r="B176" s="92"/>
      <x:c r="C176" s="92"/>
      <x:c r="D176" s="92"/>
      <x:c r="E176" s="92"/>
      <x:c r="F176" s="92"/>
      <x:c r="G176" s="92"/>
      <x:c r="H176" s="92"/>
      <x:c r="I176" s="92"/>
      <x:c r="J176" s="92"/>
      <x:c r="K176" s="92"/>
      <x:c r="L176" s="92"/>
      <x:c r="M176" s="92"/>
      <x:c r="N176" s="92"/>
      <x:c r="O176" s="92"/>
      <x:c r="P176" s="92"/>
      <x:c r="Q176" s="92"/>
      <x:c r="R176" s="92"/>
      <x:c r="S176" s="92"/>
      <x:c r="T176" s="92"/>
      <x:c r="U176" s="92"/>
      <x:c r="V176" s="92"/>
      <x:c r="W176" s="92"/>
      <x:c r="X176" s="92"/>
      <x:c r="Y176" s="92"/>
      <x:c r="Z176" s="92"/>
    </x:row>
    <x:row r="177">
      <x:c r="A177" s="92"/>
      <x:c r="B177" s="92"/>
      <x:c r="C177" s="92"/>
      <x:c r="D177" s="92"/>
      <x:c r="E177" s="92"/>
      <x:c r="F177" s="92"/>
      <x:c r="G177" s="92"/>
      <x:c r="H177" s="92"/>
      <x:c r="I177" s="92"/>
      <x:c r="J177" s="92"/>
      <x:c r="K177" s="92"/>
      <x:c r="L177" s="92"/>
      <x:c r="M177" s="92"/>
      <x:c r="N177" s="92"/>
      <x:c r="O177" s="92"/>
      <x:c r="P177" s="92"/>
      <x:c r="Q177" s="92"/>
      <x:c r="R177" s="92"/>
      <x:c r="S177" s="92"/>
      <x:c r="T177" s="92"/>
      <x:c r="U177" s="92"/>
      <x:c r="V177" s="92"/>
      <x:c r="W177" s="92"/>
      <x:c r="X177" s="92"/>
      <x:c r="Y177" s="92"/>
      <x:c r="Z177" s="92"/>
    </x:row>
    <x:row r="178">
      <x:c r="A178" s="92"/>
      <x:c r="B178" s="92"/>
      <x:c r="C178" s="92"/>
      <x:c r="D178" s="92"/>
      <x:c r="E178" s="92"/>
      <x:c r="F178" s="92"/>
      <x:c r="G178" s="92"/>
      <x:c r="H178" s="92"/>
      <x:c r="I178" s="92"/>
      <x:c r="J178" s="92"/>
      <x:c r="K178" s="92"/>
      <x:c r="L178" s="92"/>
      <x:c r="M178" s="92"/>
      <x:c r="N178" s="92"/>
      <x:c r="O178" s="92"/>
      <x:c r="P178" s="92"/>
      <x:c r="Q178" s="92"/>
      <x:c r="R178" s="92"/>
      <x:c r="S178" s="92"/>
      <x:c r="T178" s="92"/>
      <x:c r="U178" s="92"/>
      <x:c r="V178" s="92"/>
      <x:c r="W178" s="92"/>
      <x:c r="X178" s="92"/>
      <x:c r="Y178" s="92"/>
      <x:c r="Z178" s="92"/>
    </x:row>
    <x:row r="179">
      <x:c r="A179" s="92"/>
      <x:c r="B179" s="92"/>
      <x:c r="C179" s="92"/>
      <x:c r="D179" s="92"/>
      <x:c r="E179" s="92"/>
      <x:c r="F179" s="92"/>
      <x:c r="G179" s="92"/>
      <x:c r="H179" s="92"/>
      <x:c r="I179" s="92"/>
      <x:c r="J179" s="92"/>
      <x:c r="K179" s="92"/>
      <x:c r="L179" s="92"/>
      <x:c r="M179" s="92"/>
      <x:c r="N179" s="92"/>
      <x:c r="O179" s="92"/>
      <x:c r="P179" s="92"/>
      <x:c r="Q179" s="92"/>
      <x:c r="R179" s="92"/>
      <x:c r="S179" s="92"/>
      <x:c r="T179" s="92"/>
      <x:c r="U179" s="92"/>
      <x:c r="V179" s="92"/>
      <x:c r="W179" s="92"/>
      <x:c r="X179" s="92"/>
      <x:c r="Y179" s="92"/>
      <x:c r="Z179" s="92"/>
    </x:row>
    <x:row r="180">
      <x:c r="A180" s="92"/>
      <x:c r="B180" s="92"/>
      <x:c r="C180" s="92"/>
      <x:c r="D180" s="92"/>
      <x:c r="E180" s="92"/>
      <x:c r="F180" s="92"/>
      <x:c r="G180" s="92"/>
      <x:c r="H180" s="92"/>
      <x:c r="I180" s="92"/>
      <x:c r="J180" s="92"/>
      <x:c r="K180" s="92"/>
      <x:c r="L180" s="92"/>
      <x:c r="M180" s="92"/>
      <x:c r="N180" s="92"/>
      <x:c r="O180" s="92"/>
      <x:c r="P180" s="92"/>
      <x:c r="Q180" s="92"/>
      <x:c r="R180" s="92"/>
      <x:c r="S180" s="92"/>
      <x:c r="T180" s="92"/>
      <x:c r="U180" s="92"/>
      <x:c r="V180" s="92"/>
      <x:c r="W180" s="92"/>
      <x:c r="X180" s="92"/>
      <x:c r="Y180" s="92"/>
      <x:c r="Z180" s="92"/>
    </x:row>
    <x:row r="181">
      <x:c r="A181" s="92"/>
      <x:c r="B181" s="92"/>
      <x:c r="C181" s="92"/>
      <x:c r="D181" s="92"/>
      <x:c r="E181" s="92"/>
      <x:c r="F181" s="92"/>
      <x:c r="G181" s="92"/>
      <x:c r="H181" s="92"/>
      <x:c r="I181" s="92"/>
      <x:c r="J181" s="92"/>
      <x:c r="K181" s="92"/>
      <x:c r="L181" s="92"/>
      <x:c r="M181" s="92"/>
      <x:c r="N181" s="92"/>
      <x:c r="O181" s="92"/>
      <x:c r="P181" s="92"/>
      <x:c r="Q181" s="92"/>
      <x:c r="R181" s="92"/>
      <x:c r="S181" s="92"/>
      <x:c r="T181" s="92"/>
      <x:c r="U181" s="92"/>
      <x:c r="V181" s="92"/>
      <x:c r="W181" s="92"/>
      <x:c r="X181" s="92"/>
      <x:c r="Y181" s="92"/>
      <x:c r="Z181" s="92"/>
    </x:row>
    <x:row r="182">
      <x:c r="A182" s="92"/>
      <x:c r="B182" s="92"/>
      <x:c r="C182" s="92"/>
      <x:c r="D182" s="92"/>
      <x:c r="E182" s="92"/>
      <x:c r="F182" s="92"/>
      <x:c r="G182" s="92"/>
      <x:c r="H182" s="92"/>
      <x:c r="I182" s="92"/>
      <x:c r="J182" s="92"/>
      <x:c r="K182" s="92"/>
      <x:c r="L182" s="92"/>
      <x:c r="M182" s="92"/>
      <x:c r="N182" s="92"/>
      <x:c r="O182" s="92"/>
      <x:c r="P182" s="92"/>
      <x:c r="Q182" s="92"/>
      <x:c r="R182" s="92"/>
      <x:c r="S182" s="92"/>
      <x:c r="T182" s="92"/>
      <x:c r="U182" s="92"/>
      <x:c r="V182" s="92"/>
      <x:c r="W182" s="92"/>
      <x:c r="X182" s="92"/>
      <x:c r="Y182" s="92"/>
      <x:c r="Z182" s="92"/>
    </x:row>
    <x:row r="183">
      <x:c r="A183" s="92"/>
      <x:c r="B183" s="92"/>
      <x:c r="C183" s="92"/>
      <x:c r="D183" s="92"/>
      <x:c r="E183" s="92"/>
      <x:c r="F183" s="92"/>
      <x:c r="G183" s="92"/>
      <x:c r="H183" s="92"/>
      <x:c r="I183" s="92"/>
      <x:c r="J183" s="92"/>
      <x:c r="K183" s="92"/>
      <x:c r="L183" s="92"/>
      <x:c r="M183" s="92"/>
      <x:c r="N183" s="92"/>
      <x:c r="O183" s="92"/>
      <x:c r="P183" s="92"/>
      <x:c r="Q183" s="92"/>
      <x:c r="R183" s="92"/>
      <x:c r="S183" s="92"/>
      <x:c r="T183" s="92"/>
      <x:c r="U183" s="92"/>
      <x:c r="V183" s="92"/>
      <x:c r="W183" s="92"/>
      <x:c r="X183" s="92"/>
      <x:c r="Y183" s="92"/>
      <x:c r="Z183" s="92"/>
    </x:row>
    <x:row r="184">
      <x:c r="A184" s="92"/>
      <x:c r="B184" s="92"/>
      <x:c r="C184" s="92"/>
      <x:c r="D184" s="92"/>
      <x:c r="E184" s="92"/>
      <x:c r="F184" s="92"/>
      <x:c r="G184" s="92"/>
      <x:c r="H184" s="92"/>
      <x:c r="I184" s="92"/>
      <x:c r="J184" s="92"/>
      <x:c r="K184" s="92"/>
      <x:c r="L184" s="92"/>
      <x:c r="M184" s="92"/>
      <x:c r="N184" s="92"/>
      <x:c r="O184" s="92"/>
      <x:c r="P184" s="92"/>
      <x:c r="Q184" s="92"/>
      <x:c r="R184" s="92"/>
      <x:c r="S184" s="92"/>
      <x:c r="T184" s="92"/>
      <x:c r="U184" s="92"/>
      <x:c r="V184" s="92"/>
      <x:c r="W184" s="92"/>
      <x:c r="X184" s="92"/>
      <x:c r="Y184" s="92"/>
      <x:c r="Z184" s="92"/>
    </x:row>
    <x:row r="185">
      <x:c r="A185" s="92"/>
      <x:c r="B185" s="92"/>
      <x:c r="C185" s="92"/>
      <x:c r="D185" s="92"/>
      <x:c r="E185" s="92"/>
      <x:c r="F185" s="92"/>
      <x:c r="G185" s="92"/>
      <x:c r="H185" s="92"/>
      <x:c r="I185" s="92"/>
      <x:c r="J185" s="92"/>
      <x:c r="K185" s="92"/>
      <x:c r="L185" s="92"/>
      <x:c r="M185" s="92"/>
      <x:c r="N185" s="92"/>
      <x:c r="O185" s="92"/>
      <x:c r="P185" s="92"/>
      <x:c r="Q185" s="92"/>
      <x:c r="R185" s="92"/>
      <x:c r="S185" s="92"/>
      <x:c r="T185" s="92"/>
      <x:c r="U185" s="92"/>
      <x:c r="V185" s="92"/>
      <x:c r="W185" s="92"/>
      <x:c r="X185" s="92"/>
      <x:c r="Y185" s="92"/>
      <x:c r="Z185" s="92"/>
    </x:row>
    <x:row r="186">
      <x:c r="A186" s="92"/>
      <x:c r="B186" s="92"/>
      <x:c r="C186" s="92"/>
      <x:c r="D186" s="92"/>
      <x:c r="E186" s="92"/>
      <x:c r="F186" s="92"/>
      <x:c r="G186" s="92"/>
      <x:c r="H186" s="92"/>
      <x:c r="I186" s="92"/>
      <x:c r="J186" s="92"/>
      <x:c r="K186" s="92"/>
      <x:c r="L186" s="92"/>
      <x:c r="M186" s="92"/>
      <x:c r="N186" s="92"/>
      <x:c r="O186" s="92"/>
      <x:c r="P186" s="92"/>
      <x:c r="Q186" s="92"/>
      <x:c r="R186" s="92"/>
      <x:c r="S186" s="92"/>
      <x:c r="T186" s="92"/>
      <x:c r="U186" s="92"/>
      <x:c r="V186" s="92"/>
      <x:c r="W186" s="92"/>
      <x:c r="X186" s="92"/>
      <x:c r="Y186" s="92"/>
      <x:c r="Z186" s="92"/>
    </x:row>
    <x:row r="187">
      <x:c r="A187" s="92"/>
      <x:c r="B187" s="92"/>
      <x:c r="C187" s="92"/>
      <x:c r="D187" s="92"/>
      <x:c r="E187" s="92"/>
      <x:c r="F187" s="92"/>
      <x:c r="G187" s="92"/>
      <x:c r="H187" s="92"/>
      <x:c r="I187" s="92"/>
      <x:c r="J187" s="92"/>
      <x:c r="K187" s="92"/>
      <x:c r="L187" s="92"/>
      <x:c r="M187" s="92"/>
      <x:c r="N187" s="92"/>
      <x:c r="O187" s="92"/>
      <x:c r="P187" s="92"/>
      <x:c r="Q187" s="92"/>
      <x:c r="R187" s="92"/>
      <x:c r="S187" s="92"/>
      <x:c r="T187" s="92"/>
      <x:c r="U187" s="92"/>
      <x:c r="V187" s="92"/>
      <x:c r="W187" s="92"/>
      <x:c r="X187" s="92"/>
      <x:c r="Y187" s="92"/>
      <x:c r="Z187" s="92"/>
    </x:row>
    <x:row r="188">
      <x:c r="A188" s="92"/>
      <x:c r="B188" s="92"/>
      <x:c r="C188" s="92"/>
      <x:c r="D188" s="92"/>
      <x:c r="E188" s="92"/>
      <x:c r="F188" s="92"/>
      <x:c r="G188" s="92"/>
      <x:c r="H188" s="92"/>
      <x:c r="I188" s="92"/>
      <x:c r="J188" s="92"/>
      <x:c r="K188" s="92"/>
      <x:c r="L188" s="92"/>
      <x:c r="M188" s="92"/>
      <x:c r="N188" s="92"/>
      <x:c r="O188" s="92"/>
      <x:c r="P188" s="92"/>
      <x:c r="Q188" s="92"/>
      <x:c r="R188" s="92"/>
      <x:c r="S188" s="92"/>
      <x:c r="T188" s="92"/>
      <x:c r="U188" s="92"/>
      <x:c r="V188" s="92"/>
      <x:c r="W188" s="92"/>
      <x:c r="X188" s="92"/>
      <x:c r="Y188" s="92"/>
      <x:c r="Z188" s="92"/>
    </x:row>
    <x:row r="189">
      <x:c r="A189" s="92"/>
      <x:c r="B189" s="92"/>
      <x:c r="C189" s="92"/>
      <x:c r="D189" s="92"/>
      <x:c r="E189" s="92"/>
      <x:c r="F189" s="92"/>
      <x:c r="G189" s="92"/>
      <x:c r="H189" s="92"/>
      <x:c r="I189" s="92"/>
      <x:c r="J189" s="92"/>
      <x:c r="K189" s="92"/>
      <x:c r="L189" s="92"/>
      <x:c r="M189" s="92"/>
      <x:c r="N189" s="92"/>
      <x:c r="O189" s="92"/>
      <x:c r="P189" s="92"/>
      <x:c r="Q189" s="92"/>
      <x:c r="R189" s="92"/>
      <x:c r="S189" s="92"/>
      <x:c r="T189" s="92"/>
      <x:c r="U189" s="92"/>
      <x:c r="V189" s="92"/>
      <x:c r="W189" s="92"/>
      <x:c r="X189" s="92"/>
      <x:c r="Y189" s="92"/>
      <x:c r="Z189" s="92"/>
    </x:row>
    <x:row r="190">
      <x:c r="A190" s="92"/>
      <x:c r="B190" s="92"/>
      <x:c r="C190" s="92"/>
      <x:c r="D190" s="92"/>
      <x:c r="E190" s="92"/>
      <x:c r="F190" s="92"/>
      <x:c r="G190" s="92"/>
      <x:c r="H190" s="92"/>
      <x:c r="I190" s="92"/>
      <x:c r="J190" s="92"/>
      <x:c r="K190" s="92"/>
      <x:c r="L190" s="92"/>
      <x:c r="M190" s="92"/>
      <x:c r="N190" s="92"/>
      <x:c r="O190" s="92"/>
      <x:c r="P190" s="92"/>
      <x:c r="Q190" s="92"/>
      <x:c r="R190" s="92"/>
      <x:c r="S190" s="92"/>
      <x:c r="T190" s="92"/>
      <x:c r="U190" s="92"/>
      <x:c r="V190" s="92"/>
      <x:c r="W190" s="92"/>
      <x:c r="X190" s="92"/>
      <x:c r="Y190" s="92"/>
      <x:c r="Z190" s="92"/>
    </x:row>
    <x:row r="191">
      <x:c r="A191" s="92"/>
      <x:c r="B191" s="92"/>
      <x:c r="C191" s="92"/>
      <x:c r="D191" s="92"/>
      <x:c r="E191" s="92"/>
      <x:c r="F191" s="92"/>
      <x:c r="G191" s="92"/>
      <x:c r="H191" s="92"/>
      <x:c r="I191" s="92"/>
      <x:c r="J191" s="92"/>
      <x:c r="K191" s="92"/>
      <x:c r="L191" s="92"/>
      <x:c r="M191" s="92"/>
      <x:c r="N191" s="92"/>
      <x:c r="O191" s="92"/>
      <x:c r="P191" s="92"/>
      <x:c r="Q191" s="92"/>
      <x:c r="R191" s="92"/>
      <x:c r="S191" s="92"/>
      <x:c r="T191" s="92"/>
      <x:c r="U191" s="92"/>
      <x:c r="V191" s="92"/>
      <x:c r="W191" s="92"/>
      <x:c r="X191" s="92"/>
      <x:c r="Y191" s="92"/>
      <x:c r="Z191" s="92"/>
    </x:row>
    <x:row r="192">
      <x:c r="A192" s="92"/>
      <x:c r="B192" s="92"/>
      <x:c r="C192" s="92"/>
      <x:c r="D192" s="92"/>
      <x:c r="E192" s="92"/>
      <x:c r="F192" s="92"/>
      <x:c r="G192" s="92"/>
      <x:c r="H192" s="92"/>
      <x:c r="I192" s="92"/>
      <x:c r="J192" s="92"/>
      <x:c r="K192" s="92"/>
      <x:c r="L192" s="92"/>
      <x:c r="M192" s="92"/>
      <x:c r="N192" s="92"/>
      <x:c r="O192" s="92"/>
      <x:c r="P192" s="92"/>
      <x:c r="Q192" s="92"/>
      <x:c r="R192" s="92"/>
      <x:c r="S192" s="92"/>
      <x:c r="T192" s="92"/>
      <x:c r="U192" s="92"/>
      <x:c r="V192" s="92"/>
      <x:c r="W192" s="92"/>
      <x:c r="X192" s="92"/>
      <x:c r="Y192" s="92"/>
      <x:c r="Z192" s="92"/>
    </x:row>
    <x:row r="193">
      <x:c r="A193" s="92"/>
      <x:c r="B193" s="92"/>
      <x:c r="C193" s="92"/>
      <x:c r="D193" s="92"/>
      <x:c r="E193" s="92"/>
      <x:c r="F193" s="92"/>
      <x:c r="G193" s="92"/>
      <x:c r="H193" s="92"/>
      <x:c r="I193" s="92"/>
      <x:c r="J193" s="92"/>
      <x:c r="K193" s="92"/>
      <x:c r="L193" s="92"/>
      <x:c r="M193" s="92"/>
      <x:c r="N193" s="92"/>
      <x:c r="O193" s="92"/>
      <x:c r="P193" s="92"/>
      <x:c r="Q193" s="92"/>
      <x:c r="R193" s="92"/>
      <x:c r="S193" s="92"/>
      <x:c r="T193" s="92"/>
      <x:c r="U193" s="92"/>
      <x:c r="V193" s="92"/>
      <x:c r="W193" s="92"/>
      <x:c r="X193" s="92"/>
      <x:c r="Y193" s="92"/>
      <x:c r="Z193" s="92"/>
    </x:row>
    <x:row r="194">
      <x:c r="A194" s="92"/>
      <x:c r="B194" s="92"/>
      <x:c r="C194" s="92"/>
      <x:c r="D194" s="92"/>
      <x:c r="E194" s="92"/>
      <x:c r="F194" s="92"/>
      <x:c r="G194" s="92"/>
      <x:c r="H194" s="92"/>
      <x:c r="I194" s="92"/>
      <x:c r="J194" s="92"/>
      <x:c r="K194" s="92"/>
      <x:c r="L194" s="92"/>
      <x:c r="M194" s="92"/>
      <x:c r="N194" s="92"/>
      <x:c r="O194" s="92"/>
      <x:c r="P194" s="92"/>
      <x:c r="Q194" s="92"/>
      <x:c r="R194" s="92"/>
      <x:c r="S194" s="92"/>
      <x:c r="T194" s="92"/>
      <x:c r="U194" s="92"/>
      <x:c r="V194" s="92"/>
      <x:c r="W194" s="92"/>
      <x:c r="X194" s="92"/>
      <x:c r="Y194" s="92"/>
      <x:c r="Z194" s="92"/>
    </x:row>
    <x:row r="195">
      <x:c r="A195" s="92"/>
      <x:c r="B195" s="92"/>
      <x:c r="C195" s="92"/>
      <x:c r="D195" s="92"/>
      <x:c r="E195" s="92"/>
      <x:c r="F195" s="92"/>
      <x:c r="G195" s="92"/>
      <x:c r="H195" s="92"/>
      <x:c r="I195" s="92"/>
      <x:c r="J195" s="92"/>
      <x:c r="K195" s="92"/>
      <x:c r="L195" s="92"/>
      <x:c r="M195" s="92"/>
      <x:c r="N195" s="92"/>
      <x:c r="O195" s="92"/>
      <x:c r="P195" s="92"/>
      <x:c r="Q195" s="92"/>
      <x:c r="R195" s="92"/>
      <x:c r="S195" s="92"/>
      <x:c r="T195" s="92"/>
      <x:c r="U195" s="92"/>
      <x:c r="V195" s="92"/>
      <x:c r="W195" s="92"/>
      <x:c r="X195" s="92"/>
      <x:c r="Y195" s="92"/>
      <x:c r="Z195" s="92"/>
    </x:row>
    <x:row r="196">
      <x:c r="A196" s="92"/>
      <x:c r="B196" s="92"/>
      <x:c r="C196" s="92"/>
      <x:c r="D196" s="92"/>
      <x:c r="E196" s="92"/>
      <x:c r="F196" s="92"/>
      <x:c r="G196" s="92"/>
      <x:c r="H196" s="92"/>
      <x:c r="I196" s="92"/>
      <x:c r="J196" s="92"/>
      <x:c r="K196" s="92"/>
      <x:c r="L196" s="92"/>
      <x:c r="M196" s="92"/>
      <x:c r="N196" s="92"/>
      <x:c r="O196" s="92"/>
      <x:c r="P196" s="92"/>
      <x:c r="Q196" s="92"/>
      <x:c r="R196" s="92"/>
      <x:c r="S196" s="92"/>
      <x:c r="T196" s="92"/>
      <x:c r="U196" s="92"/>
      <x:c r="V196" s="92"/>
      <x:c r="W196" s="92"/>
      <x:c r="X196" s="92"/>
      <x:c r="Y196" s="92"/>
      <x:c r="Z196" s="92"/>
    </x:row>
    <x:row r="197">
      <x:c r="A197" s="92"/>
      <x:c r="B197" s="92"/>
      <x:c r="C197" s="92"/>
      <x:c r="D197" s="92"/>
      <x:c r="E197" s="92"/>
      <x:c r="F197" s="92"/>
      <x:c r="G197" s="92"/>
      <x:c r="H197" s="92"/>
      <x:c r="I197" s="92"/>
      <x:c r="J197" s="92"/>
      <x:c r="K197" s="92"/>
      <x:c r="L197" s="92"/>
      <x:c r="M197" s="92"/>
      <x:c r="N197" s="92"/>
      <x:c r="O197" s="92"/>
      <x:c r="P197" s="92"/>
      <x:c r="Q197" s="92"/>
      <x:c r="R197" s="92"/>
      <x:c r="S197" s="92"/>
      <x:c r="T197" s="92"/>
      <x:c r="U197" s="92"/>
      <x:c r="V197" s="92"/>
      <x:c r="W197" s="92"/>
      <x:c r="X197" s="92"/>
      <x:c r="Y197" s="92"/>
      <x:c r="Z197" s="92"/>
    </x:row>
    <x:row r="198">
      <x:c r="A198" s="92"/>
      <x:c r="B198" s="92"/>
      <x:c r="C198" s="92"/>
      <x:c r="D198" s="92"/>
      <x:c r="E198" s="92"/>
      <x:c r="F198" s="92"/>
      <x:c r="G198" s="92"/>
      <x:c r="H198" s="92"/>
      <x:c r="I198" s="92"/>
      <x:c r="J198" s="92"/>
      <x:c r="K198" s="92"/>
      <x:c r="L198" s="92"/>
      <x:c r="M198" s="92"/>
      <x:c r="N198" s="92"/>
      <x:c r="O198" s="92"/>
      <x:c r="P198" s="92"/>
      <x:c r="Q198" s="92"/>
      <x:c r="R198" s="92"/>
      <x:c r="S198" s="92"/>
      <x:c r="T198" s="92"/>
      <x:c r="U198" s="92"/>
      <x:c r="V198" s="92"/>
      <x:c r="W198" s="92"/>
      <x:c r="X198" s="92"/>
      <x:c r="Y198" s="92"/>
      <x:c r="Z198" s="92"/>
    </x:row>
    <x:row r="199">
      <x:c r="A199" s="92"/>
      <x:c r="B199" s="92"/>
      <x:c r="C199" s="92"/>
      <x:c r="D199" s="92"/>
      <x:c r="E199" s="92"/>
      <x:c r="F199" s="92"/>
      <x:c r="G199" s="92"/>
      <x:c r="H199" s="92"/>
      <x:c r="I199" s="92"/>
      <x:c r="J199" s="92"/>
      <x:c r="K199" s="92"/>
      <x:c r="L199" s="92"/>
      <x:c r="M199" s="92"/>
      <x:c r="N199" s="92"/>
      <x:c r="O199" s="92"/>
      <x:c r="P199" s="92"/>
      <x:c r="Q199" s="92"/>
      <x:c r="R199" s="92"/>
      <x:c r="S199" s="92"/>
      <x:c r="T199" s="92"/>
      <x:c r="U199" s="92"/>
      <x:c r="V199" s="92"/>
      <x:c r="W199" s="92"/>
      <x:c r="X199" s="92"/>
      <x:c r="Y199" s="92"/>
      <x:c r="Z199" s="92"/>
    </x:row>
    <x:row r="200">
      <x:c r="A200" s="92"/>
      <x:c r="B200" s="92"/>
      <x:c r="C200" s="92"/>
      <x:c r="D200" s="92"/>
      <x:c r="E200" s="92"/>
      <x:c r="F200" s="92"/>
      <x:c r="G200" s="92"/>
      <x:c r="H200" s="92"/>
      <x:c r="I200" s="92"/>
      <x:c r="J200" s="92"/>
      <x:c r="K200" s="92"/>
      <x:c r="L200" s="92"/>
      <x:c r="M200" s="92"/>
      <x:c r="N200" s="92"/>
      <x:c r="O200" s="92"/>
      <x:c r="P200" s="92"/>
      <x:c r="Q200" s="92"/>
      <x:c r="R200" s="92"/>
      <x:c r="S200" s="92"/>
      <x:c r="T200" s="92"/>
      <x:c r="U200" s="92"/>
      <x:c r="V200" s="92"/>
      <x:c r="W200" s="92"/>
      <x:c r="X200" s="92"/>
      <x:c r="Y200" s="92"/>
      <x:c r="Z200" s="92"/>
    </x:row>
  </x:sheetData>
  <x:mergeCells>
    <x:mergeCell ref="A1:H1"/>
    <x:mergeCell ref="A12:H12"/>
    <x:mergeCell ref="A13:H16"/>
  </x:mergeCells>
  <x:pageMargins left="0.7" right="0.7" top="0.75" bottom="0.75" header="0.3" footer="0.3"/>
  <x:drawing xmlns:r="http://schemas.openxmlformats.org/officeDocument/2006/relationships" r:id="R46e8614a435649a5"/>
</x:worksheet>
</file>

<file path=xl/worksheets/sheet2.xml><?xml version="1.0" encoding="utf-8"?>
<x:worksheet xmlns:x="http://schemas.openxmlformats.org/spreadsheetml/2006/main">
  <x:sheetFormatPr defaultRowHeight="15"/>
  <x:cols>
    <x:col min="1" max="1" width="16" hidden="0" customWidth="1"/>
    <x:col min="2" max="2" width="30" hidden="0" customWidth="1"/>
    <x:col min="3" max="3" width="40" hidden="0" customWidth="1"/>
    <x:col min="4" max="4" width="34" hidden="0" customWidth="1"/>
    <x:col min="5" max="5" width="22" hidden="0" customWidth="1"/>
    <x:col min="6" max="6" width="10" hidden="0" customWidth="1"/>
    <x:col min="7" max="7" width="22" hidden="0" customWidth="1"/>
    <x:col min="8" max="8" width="42" hidden="0" customWidth="1"/>
    <x:col min="9" max="9" width="42" hidden="0" customWidth="1"/>
    <x:col min="10" max="10" width="38" hidden="0" customWidth="1"/>
    <x:col min="11" max="11" width="64" hidden="0" customWidth="1"/>
    <x:col min="12" max="12" width="54" hidden="0" customWidth="1"/>
    <x:col min="13" max="13" width="54" hidden="0" customWidth="1"/>
    <x:col min="14" max="14" width="48" hidden="0" customWidth="1"/>
    <x:col min="15" max="15" width="46" hidden="0" customWidth="1"/>
    <x:col min="16" max="16" width="38" hidden="0" customWidth="1"/>
    <x:col min="17" max="17" width="14" hidden="0" customWidth="1"/>
    <x:col min="18" max="18" width="14" hidden="0" customWidth="1"/>
    <x:col min="19" max="19" width="34" hidden="0" customWidth="1"/>
  </x:cols>
  <x:sheetData>
    <x:row r="1" ht="42" customHeight="1">
      <x:c r="A1" s="93" t="str">
        <x:v>TC ID</x:v>
      </x:c>
      <x:c r="B1" s="95" t="str">
        <x:v>Category</x:v>
      </x:c>
      <x:c r="C1" s="95" t="str">
        <x:v>Test Case Title</x:v>
      </x:c>
      <x:c r="D1" s="95" t="str">
        <x:v>Components</x:v>
      </x:c>
      <x:c r="E1" s="95" t="str">
        <x:v>Test Type</x:v>
      </x:c>
      <x:c r="F1" s="95" t="str">
        <x:v>Priority</x:v>
      </x:c>
      <x:c r="G1" s="95" t="str">
        <x:v>Requirement IDs</x:v>
      </x:c>
      <x:c r="H1" s="95" t="str">
        <x:v>Objective</x:v>
      </x:c>
      <x:c r="I1" s="95" t="str">
        <x:v>Preconditions</x:v>
      </x:c>
      <x:c r="J1" s="95" t="str">
        <x:v>Test Data / Environment</x:v>
      </x:c>
      <x:c r="K1" s="95" t="str">
        <x:v>Test Steps</x:v>
      </x:c>
      <x:c r="L1" s="95" t="str">
        <x:v>Expected Device / App / Web Result</x:v>
      </x:c>
      <x:c r="M1" s="95" t="str">
        <x:v>Expected Backend / Data Result</x:v>
      </x:c>
      <x:c r="N1" s="95" t="str">
        <x:v>Data Integrity / Validation</x:v>
      </x:c>
      <x:c r="O1" s="95" t="str">
        <x:v>Pass Criteria</x:v>
      </x:c>
      <x:c r="P1" s="95" t="str">
        <x:v>Actual Result</x:v>
      </x:c>
      <x:c r="Q1" s="95" t="str">
        <x:v>Status</x:v>
      </x:c>
      <x:c r="R1" s="95" t="str">
        <x:v>Defect ID</x:v>
      </x:c>
      <x:c r="S1" s="94" t="str">
        <x:v>Evidence / Notes</x:v>
      </x:c>
      <x:c r="T1" s="92"/>
      <x:c r="U1" s="92"/>
      <x:c r="V1" s="92"/>
      <x:c r="W1" s="92"/>
      <x:c r="X1" s="92"/>
      <x:c r="Y1" s="92"/>
      <x:c r="Z1" s="92"/>
    </x:row>
    <x:row r="2" ht="118" customHeight="1">
      <x:c r="A2" s="106" t="str">
        <x:v>SATE-E2E-001</x:v>
      </x:c>
      <x:c r="B2" s="107" t="str">
        <x:v>End-to-End Recording and Sync</x:v>
      </x:c>
      <x:c r="C2" s="107" t="str">
        <x:v>Standard online recording, upload, processing, review, and PDF export</x:v>
      </x:c>
      <x:c r="D2" s="107" t="str">
        <x:v>SATE Recorder; Wi-Fi; Supabase; Edge Functions; Cloudflare; AI service; Web App; PDF service</x:v>
      </x:c>
      <x:c r="E2" s="107" t="str">
        <x:v>Functional / End-to-End</x:v>
      </x:c>
      <x:c r="F2" s="107" t="str">
        <x:v>P0</x:v>
      </x:c>
      <x:c r="G2" s="107" t="str">
        <x:v>RQ-01,RQ-02,RQ-03,RQ-04,RQ-16,RQ-20</x:v>
      </x:c>
      <x:c r="H2" s="107" t="str">
        <x:v>Verify the complete production workflow for a normal session.</x:v>
      </x:c>
      <x:c r="I2" s="107" t="str">
        <x:v>Test user is active; recorder is assigned to the user; stable Internet is available; backend services are healthy; no existing test session uses the planned test label.</x:v>
      </x:c>
      <x:c r="J2" s="107" t="str">
        <x:v>5-minute normal speech recording; stable Wi-Fi; supported browser.</x:v>
      </x:c>
      <x:c r="K2" s="107" t="str">
        <x:v>1. Start a new recording.
2. Speak the unique session label at the beginning and end.
3. Stop and save the recording.
4. Wait for upload and processing to complete.
5. Open the session in the Web App.
6. Review transcript and annotations.
7. Export the SATE report as PDF.</x:v>
      </x:c>
      <x:c r="L2" s="107" t="str">
        <x:v>Recorder shows clear Recording, Saved, Uploading, Processing, and Completed states. The Web App shows the correct session, audio, transcript, annotations, and report controls. PDF opens successfully.</x:v>
      </x:c>
      <x:c r="M2" s="107" t="str">
        <x:v>Exactly one session record and one valid audio object are created. Status transitions are valid and terminal state is Completed. AI result is attached to the same session. No duplicate processing job is created.</x:v>
      </x:c>
      <x:c r="N2" s="107" t="str">
        <x:v>Confirm session ID, user ID, device ID, timestamps, duration, audio beginning/end markers, transcript-session match, valid annotation JSON, and PDF-session match.</x:v>
      </x:c>
      <x:c r="O2" s="107" t="str">
        <x:v>All steps complete without manual recovery; no data loss, duplication, mis-association, or unhandled error occurs.</x:v>
      </x:c>
      <x:c r="P2" s="107" t="str"/>
      <x:c r="Q2" s="107" t="str">
        <x:v>Not Run</x:v>
      </x:c>
      <x:c r="R2" s="107" t="str"/>
      <x:c r="S2" s="108" t="str"/>
      <x:c r="T2" s="92"/>
      <x:c r="U2" s="92"/>
      <x:c r="V2" s="92"/>
      <x:c r="W2" s="92"/>
      <x:c r="X2" s="92"/>
      <x:c r="Y2" s="92"/>
      <x:c r="Z2" s="92"/>
    </x:row>
    <x:row r="3" ht="118" customHeight="1">
      <x:c r="A3" s="106" t="str">
        <x:v>SATE-E2E-002</x:v>
      </x:c>
      <x:c r="B3" s="107" t="str">
        <x:v>End-to-End Recording and Sync</x:v>
      </x:c>
      <x:c r="C3" s="107" t="str">
        <x:v>Very short recording near the minimum supported duration</x:v>
      </x:c>
      <x:c r="D3" s="107" t="str">
        <x:v>SATE Recorder; Supabase; AI service; Web App</x:v>
      </x:c>
      <x:c r="E3" s="107" t="str">
        <x:v>Boundary / Functional</x:v>
      </x:c>
      <x:c r="F3" s="107" t="str">
        <x:v>P1</x:v>
      </x:c>
      <x:c r="G3" s="107" t="str">
        <x:v>RQ-01,RQ-07,RQ-14</x:v>
      </x:c>
      <x:c r="H3" s="107" t="str">
        <x:v>Verify expected handling of a valid recording near the minimum duration.</x:v>
      </x:c>
      <x:c r="I3" s="107" t="str">
        <x:v>Minimum supported duration is documented or a provisional threshold is agreed for testing.</x:v>
      </x:c>
      <x:c r="J3" s="107" t="str">
        <x:v>10-15 second recording containing one clearly spoken sentence.</x:v>
      </x:c>
      <x:c r="K3" s="107" t="str">
        <x:v>1. Start recording.
2. Record for the minimum supported duration.
3. Stop and sync.
4. Open the result in the Web App.
5. Attempt PDF export if the session completes.</x:v>
      </x:c>
      <x:c r="L3" s="107" t="str">
        <x:v>The recorder either accepts the session or shows a documented minimum-duration message. The Web App does not display an unexplained blank result.</x:v>
      </x:c>
      <x:c r="M3" s="107" t="str">
        <x:v>If accepted, one complete session is processed. If rejected, no orphan audio, session, or processing job remains.</x:v>
      </x:c>
      <x:c r="N3" s="107" t="str">
        <x:v>Check actual duration, session status, transcript presence, and absence of orphan records.</x:v>
      </x:c>
      <x:c r="O3" s="107" t="str">
        <x:v>Behavior matches the documented minimum-duration requirement and leaves the system in a consistent state.</x:v>
      </x:c>
      <x:c r="P3" s="107" t="str"/>
      <x:c r="Q3" s="107" t="str">
        <x:v>Not Run</x:v>
      </x:c>
      <x:c r="R3" s="107" t="str"/>
      <x:c r="S3" s="108" t="str"/>
      <x:c r="T3" s="92"/>
      <x:c r="U3" s="92"/>
      <x:c r="V3" s="92"/>
      <x:c r="W3" s="92"/>
      <x:c r="X3" s="92"/>
      <x:c r="Y3" s="92"/>
      <x:c r="Z3" s="92"/>
    </x:row>
    <x:row r="4" ht="118" customHeight="1">
      <x:c r="A4" s="106" t="str">
        <x:v>SATE-E2E-003</x:v>
      </x:c>
      <x:c r="B4" s="107" t="str">
        <x:v>End-to-End Recording and Sync</x:v>
      </x:c>
      <x:c r="C4" s="107" t="str">
        <x:v>Silent or near-silent recording</x:v>
      </x:c>
      <x:c r="D4" s="107" t="str">
        <x:v>SATE Recorder; AI service; Web App</x:v>
      </x:c>
      <x:c r="E4" s="107" t="str">
        <x:v>Negative / Functional</x:v>
      </x:c>
      <x:c r="F4" s="107" t="str">
        <x:v>P1</x:v>
      </x:c>
      <x:c r="G4" s="107" t="str">
        <x:v>RQ-14,RQ-20</x:v>
      </x:c>
      <x:c r="H4" s="107" t="str">
        <x:v>Verify that absence of speech is distinguished from pipeline failure.</x:v>
      </x:c>
      <x:c r="I4" s="107" t="str">
        <x:v>Backend services are healthy.</x:v>
      </x:c>
      <x:c r="J4" s="107" t="str">
        <x:v>2-minute recording with room tone and no intentional speech.</x:v>
      </x:c>
      <x:c r="K4" s="107" t="str">
        <x:v>1. Record two minutes of silence or near-silence.
2. Stop and sync.
3. Wait for processing.
4. Open the session in the Web App.
5. Review status, transcript, and annotations.</x:v>
      </x:c>
      <x:c r="L4" s="107" t="str">
        <x:v>The session displays a clear outcome such as No Detectable Speech, Low Confidence, or an empty transcript with explanation. It must not remain indefinitely in Processing.</x:v>
      </x:c>
      <x:c r="M4" s="107" t="str">
        <x:v>AI response is stored as a valid result or a defined non-speech outcome. Processing status reaches a defined terminal state.</x:v>
      </x:c>
      <x:c r="N4" s="107" t="str">
        <x:v>Verify audio is playable and complete; transcript is not copied from another session; result JSON is valid.</x:v>
      </x:c>
      <x:c r="O4" s="107" t="str">
        <x:v>The system distinguishes valid silent audio from upload/processing failure and provides an actionable status.</x:v>
      </x:c>
      <x:c r="P4" s="107" t="str"/>
      <x:c r="Q4" s="107" t="str">
        <x:v>Not Run</x:v>
      </x:c>
      <x:c r="R4" s="107" t="str"/>
      <x:c r="S4" s="108" t="str"/>
      <x:c r="T4" s="92"/>
      <x:c r="U4" s="92"/>
      <x:c r="V4" s="92"/>
      <x:c r="W4" s="92"/>
      <x:c r="X4" s="92"/>
      <x:c r="Y4" s="92"/>
      <x:c r="Z4" s="92"/>
    </x:row>
    <x:row r="5" ht="118" customHeight="1">
      <x:c r="A5" s="106" t="str">
        <x:v>SATE-E2E-004</x:v>
      </x:c>
      <x:c r="B5" s="107" t="str">
        <x:v>End-to-End Recording and Sync</x:v>
      </x:c>
      <x:c r="C5" s="107" t="str">
        <x:v>Noisy recording with multiple speakers and interruptions</x:v>
      </x:c>
      <x:c r="D5" s="107" t="str">
        <x:v>SATE Recorder; AI service; Web App</x:v>
      </x:c>
      <x:c r="E5" s="107" t="str">
        <x:v>Robustness / Functional</x:v>
      </x:c>
      <x:c r="F5" s="107" t="str">
        <x:v>P1</x:v>
      </x:c>
      <x:c r="G5" s="107" t="str">
        <x:v>RQ-14,RQ-20</x:v>
      </x:c>
      <x:c r="H5" s="107" t="str">
        <x:v>Verify that difficult audio degrades recognition quality gracefully without breaking the pipeline.</x:v>
      </x:c>
      <x:c r="I5" s="107" t="str">
        <x:v>Normal end-to-end environment is available.</x:v>
      </x:c>
      <x:c r="J5" s="107" t="str">
        <x:v>5-minute recording with background noise, two speakers, pauses, overlapping speech, and brief interruptions.</x:v>
      </x:c>
      <x:c r="K5" s="107" t="str">
        <x:v>1. Record the prepared noisy scenario.
2. Stop and sync.
3. Review transcript, speaker-related output if supported, annotations, warnings, and PDF.</x:v>
      </x:c>
      <x:c r="L5" s="107" t="str">
        <x:v>The session completes or shows a defined low-quality warning. The UI remains responsive and does not mislabel the result as an upload failure.</x:v>
      </x:c>
      <x:c r="M5" s="107" t="str">
        <x:v>One valid audio object and one result set are stored. Partial/low-confidence fields follow the documented schema.</x:v>
      </x:c>
      <x:c r="N5" s="107" t="str">
        <x:v>Check that output belongs to this audio, JSON fields are parseable, and no unrelated transcript appears.</x:v>
      </x:c>
      <x:c r="O5" s="107" t="str">
        <x:v>The session reaches a defined terminal state with no crash, malformed data, or cross-session contamination.</x:v>
      </x:c>
      <x:c r="P5" s="107" t="str"/>
      <x:c r="Q5" s="107" t="str">
        <x:v>Not Run</x:v>
      </x:c>
      <x:c r="R5" s="107" t="str"/>
      <x:c r="S5" s="108" t="str"/>
      <x:c r="T5" s="92"/>
      <x:c r="U5" s="92"/>
      <x:c r="V5" s="92"/>
      <x:c r="W5" s="92"/>
      <x:c r="X5" s="92"/>
      <x:c r="Y5" s="92"/>
      <x:c r="Z5" s="92"/>
    </x:row>
    <x:row r="6" ht="118" customHeight="1">
      <x:c r="A6" s="106" t="str">
        <x:v>SATE-E2E-005</x:v>
      </x:c>
      <x:c r="B6" s="107" t="str">
        <x:v>End-to-End Recording and Sync</x:v>
      </x:c>
      <x:c r="C6" s="107" t="str">
        <x:v>Session metadata, timestamp, time-zone, and device association</x:v>
      </x:c>
      <x:c r="D6" s="107" t="str">
        <x:v>SATE Recorder; Supabase; Web App; PDF service</x:v>
      </x:c>
      <x:c r="E6" s="107" t="str">
        <x:v>Data Integrity</x:v>
      </x:c>
      <x:c r="F6" s="107" t="str">
        <x:v>P0</x:v>
      </x:c>
      <x:c r="G6" s="107" t="str">
        <x:v>RQ-01,RQ-02,RQ-19</x:v>
      </x:c>
      <x:c r="H6" s="107" t="str">
        <x:v>Verify that metadata remains correct across recorder, backend, Web App, and exported report.</x:v>
      </x:c>
      <x:c r="I6" s="107" t="str">
        <x:v>Recorder and phone clocks are set correctly; test account and device assignment are known.</x:v>
      </x:c>
      <x:c r="J6" s="107" t="str">
        <x:v>One 2-minute session created near a known clock time; record local time zone.</x:v>
      </x:c>
      <x:c r="K6" s="107" t="str">
        <x:v>1. Note user, recorder ID, local start time, and end time.
2. Record and sync a session.
3. Compare metadata in device UI, database, Web App, and PDF.
4. Refresh and reopen the session.</x:v>
      </x:c>
      <x:c r="L6" s="107" t="str">
        <x:v>User name/ID, device, date, time, duration, and session label are consistent and displayed in the intended time zone.</x:v>
      </x:c>
      <x:c r="M6" s="107" t="str">
        <x:v>Canonical timestamps are stored consistently; display conversion is correct; device association does not change after refresh.</x:v>
      </x:c>
      <x:c r="N6" s="107" t="str">
        <x:v>Compare session ID, user ID, device ID, start/end timestamps, time zone, and calculated duration across all components.</x:v>
      </x:c>
      <x:c r="O6" s="107" t="str">
        <x:v>No incorrect user/device association, unexplained time shift, or material duration discrepancy is present.</x:v>
      </x:c>
      <x:c r="P6" s="107" t="str"/>
      <x:c r="Q6" s="107" t="str">
        <x:v>Not Run</x:v>
      </x:c>
      <x:c r="R6" s="107" t="str"/>
      <x:c r="S6" s="108" t="str"/>
      <x:c r="T6" s="92"/>
      <x:c r="U6" s="92"/>
      <x:c r="V6" s="92"/>
      <x:c r="W6" s="92"/>
      <x:c r="X6" s="92"/>
      <x:c r="Y6" s="92"/>
      <x:c r="Z6" s="92"/>
    </x:row>
    <x:row r="7" ht="118" customHeight="1">
      <x:c r="A7" s="106" t="str">
        <x:v>SATE-E2E-006</x:v>
      </x:c>
      <x:c r="B7" s="107" t="str">
        <x:v>End-to-End Recording and Sync</x:v>
      </x:c>
      <x:c r="C7" s="107" t="str">
        <x:v>Repeated Stop, Save, Upload, or Submit actions</x:v>
      </x:c>
      <x:c r="D7" s="107" t="str">
        <x:v>SATE Recorder; Mobile App; Supabase; Edge Functions</x:v>
      </x:c>
      <x:c r="E7" s="107" t="str">
        <x:v>Reliability / Idempotency</x:v>
      </x:c>
      <x:c r="F7" s="107" t="str">
        <x:v>P0</x:v>
      </x:c>
      <x:c r="G7" s="107" t="str">
        <x:v>RQ-03,RQ-21</x:v>
      </x:c>
      <x:c r="H7" s="107" t="str">
        <x:v>Verify that rapid repeated user actions do not create duplicate sessions or jobs.</x:v>
      </x:c>
      <x:c r="I7" s="107" t="str">
        <x:v>Normal recording is in progress; tester can tap controls rapidly.</x:v>
      </x:c>
      <x:c r="J7" s="107" t="str">
        <x:v>2-minute recording; stable network.</x:v>
      </x:c>
      <x:c r="K7" s="107" t="str">
        <x:v>1. End the recording.
2. Rapidly tap Stop/Save several times.
3. If an Upload or Retry control appears, tap it repeatedly.
4. Wait for completion.
5. Inspect session list and backend records.</x:v>
      </x:c>
      <x:c r="L7" s="107" t="str">
        <x:v>Controls become disabled or requests are safely deduplicated. The user sees only one session.</x:v>
      </x:c>
      <x:c r="M7" s="107" t="str">
        <x:v>Exactly one canonical session, one final audio object, and one final result set exist. Duplicate requests use the same idempotency key or are rejected safely.</x:v>
      </x:c>
      <x:c r="N7" s="107" t="str">
        <x:v>Count session records, storage objects, processing attempts, transcripts, and reports linked to the source recording.</x:v>
      </x:c>
      <x:c r="O7" s="107" t="str">
        <x:v>Repeated actions never create duplicate user-visible sessions, duplicate reports, or conflicting final states.</x:v>
      </x:c>
      <x:c r="P7" s="107" t="str"/>
      <x:c r="Q7" s="107" t="str">
        <x:v>Not Run</x:v>
      </x:c>
      <x:c r="R7" s="107" t="str"/>
      <x:c r="S7" s="108" t="str"/>
      <x:c r="T7" s="92"/>
      <x:c r="U7" s="92"/>
      <x:c r="V7" s="92"/>
      <x:c r="W7" s="92"/>
      <x:c r="X7" s="92"/>
      <x:c r="Y7" s="92"/>
      <x:c r="Z7" s="92"/>
    </x:row>
    <x:row r="8" ht="118" customHeight="1">
      <x:c r="A8" s="106" t="str">
        <x:v>SATE-REC-001</x:v>
      </x:c>
      <x:c r="B8" s="107" t="str">
        <x:v>Recorder Interruption and Local Persistence</x:v>
      </x:c>
      <x:c r="C8" s="107" t="str">
        <x:v>Graceful recorder restart during an active recording</x:v>
      </x:c>
      <x:c r="D8" s="107" t="str">
        <x:v>SATE Recorder; Local Storage; Supabase</x:v>
      </x:c>
      <x:c r="E8" s="107" t="str">
        <x:v>Recovery</x:v>
      </x:c>
      <x:c r="F8" s="107" t="str">
        <x:v>P0</x:v>
      </x:c>
      <x:c r="G8" s="107" t="str">
        <x:v>RQ-06,RQ-03,RQ-04</x:v>
      </x:c>
      <x:c r="H8" s="107" t="str">
        <x:v>Verify that a normal restart during recording does not silently lose captured audio.</x:v>
      </x:c>
      <x:c r="I8" s="107" t="str">
        <x:v>Recorder battery and storage are sufficient; a session is actively recording.</x:v>
      </x:c>
      <x:c r="J8" s="107" t="str">
        <x:v>5-minute intended recording; restart after approximately 2 minutes.</x:v>
      </x:c>
      <x:c r="K8" s="107" t="str">
        <x:v>1. Start recording and speak a beginning marker.
2. After two minutes, perform a normal device restart.
3. Restart the recorder.
4. Inspect recovered/pending sessions.
5. Sync any recovered partial session.</x:v>
      </x:c>
      <x:c r="L8" s="107" t="str">
        <x:v>The recorder clearly identifies the interrupted session. Recommended behavior: preserve the recorded portion and label it Interrupted; do not silently discard it.</x:v>
      </x:c>
      <x:c r="M8" s="107" t="str">
        <x:v>At most one interrupted session is created for the captured audio. Any upload uses the original session identity or a clearly linked recovery identity.</x:v>
      </x:c>
      <x:c r="N8" s="107" t="str">
        <x:v>Play the recovered audio; verify beginning marker, duration, file readability, status, and absence of duplication.</x:v>
      </x:c>
      <x:c r="O8" s="107" t="str">
        <x:v>Captured audio is preserved or intentionally rejected according to a documented rule, and the user receives an explicit status.</x:v>
      </x:c>
      <x:c r="P8" s="107" t="str"/>
      <x:c r="Q8" s="107" t="str">
        <x:v>Not Run</x:v>
      </x:c>
      <x:c r="R8" s="107" t="str"/>
      <x:c r="S8" s="108" t="str"/>
      <x:c r="T8" s="92"/>
      <x:c r="U8" s="92"/>
      <x:c r="V8" s="92"/>
      <x:c r="W8" s="92"/>
      <x:c r="X8" s="92"/>
      <x:c r="Y8" s="92"/>
      <x:c r="Z8" s="92"/>
    </x:row>
    <x:row r="9" ht="118" customHeight="1">
      <x:c r="A9" s="106" t="str">
        <x:v>SATE-REC-002</x:v>
      </x:c>
      <x:c r="B9" s="107" t="str">
        <x:v>Recorder Interruption and Local Persistence</x:v>
      </x:c>
      <x:c r="C9" s="107" t="str">
        <x:v>Forced power loss during an active recording</x:v>
      </x:c>
      <x:c r="D9" s="107" t="str">
        <x:v>SATE Recorder; Local Storage</x:v>
      </x:c>
      <x:c r="E9" s="107" t="str">
        <x:v>Recovery / Fault Injection</x:v>
      </x:c>
      <x:c r="F9" s="107" t="str">
        <x:v>P0</x:v>
      </x:c>
      <x:c r="G9" s="107" t="str">
        <x:v>RQ-04,RQ-06</x:v>
      </x:c>
      <x:c r="H9" s="107" t="str">
        <x:v>Verify crash-safe local audio persistence when shutdown cannot complete cleanly.</x:v>
      </x:c>
      <x:c r="I9" s="107" t="str">
        <x:v>Recorder is actively recording; tester can disconnect power or force shutdown safely.</x:v>
      </x:c>
      <x:c r="J9" s="107" t="str">
        <x:v>5-minute intended recording; forced shutdown after approximately 2 minutes.</x:v>
      </x:c>
      <x:c r="K9" s="107" t="str">
        <x:v>1. Start recording and speak a beginning marker.
2. Force power loss without using the normal stop control.
3. Restore power.
4. Inspect recovered data and device messages.
5. Sync any recoverable session.</x:v>
      </x:c>
      <x:c r="L9" s="107" t="str">
        <x:v>The recorder reports an interrupted or recovered session rather than showing a completed recording. It must not claim success if the audio is corrupted.</x:v>
      </x:c>
      <x:c r="M9" s="107" t="str">
        <x:v>Recovered audio is either stored as one valid partial session or quarantined as corrupted with a traceable error. No phantom Completed session is created.</x:v>
      </x:c>
      <x:c r="N9" s="107" t="str">
        <x:v>Verify file readability, duration, beginning marker, session count, error logs, and local cleanup behavior.</x:v>
      </x:c>
      <x:c r="O9" s="107" t="str">
        <x:v>No silent data loss, false Completed state, or duplicate session occurs.</x:v>
      </x:c>
      <x:c r="P9" s="107" t="str"/>
      <x:c r="Q9" s="107" t="str">
        <x:v>Not Run</x:v>
      </x:c>
      <x:c r="R9" s="107" t="str"/>
      <x:c r="S9" s="108" t="str"/>
      <x:c r="T9" s="92"/>
      <x:c r="U9" s="92"/>
      <x:c r="V9" s="92"/>
      <x:c r="W9" s="92"/>
      <x:c r="X9" s="92"/>
      <x:c r="Y9" s="92"/>
      <x:c r="Z9" s="92"/>
    </x:row>
    <x:row r="10" ht="118" customHeight="1">
      <x:c r="A10" s="106" t="str">
        <x:v>SATE-REC-003</x:v>
      </x:c>
      <x:c r="B10" s="107" t="str">
        <x:v>Recorder Interruption and Local Persistence</x:v>
      </x:c>
      <x:c r="C10" s="107" t="str">
        <x:v>Low-battery shutdown during recording</x:v>
      </x:c>
      <x:c r="D10" s="107" t="str">
        <x:v>SATE Recorder; Battery Management; Local Storage</x:v>
      </x:c>
      <x:c r="E10" s="107" t="str">
        <x:v>Recovery / Hardware</x:v>
      </x:c>
      <x:c r="F10" s="107" t="str">
        <x:v>P0</x:v>
      </x:c>
      <x:c r="G10" s="107" t="str">
        <x:v>RQ-06,RQ-20</x:v>
      </x:c>
      <x:c r="H10" s="107" t="str">
        <x:v>Verify low-battery warnings and safe session preservation.</x:v>
      </x:c>
      <x:c r="I10" s="107" t="str">
        <x:v>Recorder battery can be reduced to the low-battery threshold.</x:v>
      </x:c>
      <x:c r="J10" s="107" t="str">
        <x:v>Recording continues until low-battery warning and shutdown.</x:v>
      </x:c>
      <x:c r="K10" s="107" t="str">
        <x:v>1. Begin a recording with low remaining battery.
2. Continue until warning appears.
3. Observe whether recording stops automatically or the device shuts down.
4. Recharge and restart.
5. Inspect and sync the session.</x:v>
      </x:c>
      <x:c r="L10" s="107" t="str">
        <x:v>A warning appears early enough for action. Recommended behavior: safely stop and save before shutdown when possible.</x:v>
      </x:c>
      <x:c r="M10" s="107" t="str">
        <x:v>One valid partial or completed session is preserved with an accurate reason/status. No corrupted Completed session is created.</x:v>
      </x:c>
      <x:c r="N10" s="107" t="str">
        <x:v>Check duration, file readability, battery-related event log, status, and upload result.</x:v>
      </x:c>
      <x:c r="O10" s="107" t="str">
        <x:v>Audio captured before shutdown is handled according to the documented low-battery rule with no false success.</x:v>
      </x:c>
      <x:c r="P10" s="107" t="str"/>
      <x:c r="Q10" s="107" t="str">
        <x:v>Not Run</x:v>
      </x:c>
      <x:c r="R10" s="107" t="str"/>
      <x:c r="S10" s="108" t="str"/>
      <x:c r="T10" s="92"/>
      <x:c r="U10" s="92"/>
      <x:c r="V10" s="92"/>
      <x:c r="W10" s="92"/>
      <x:c r="X10" s="92"/>
      <x:c r="Y10" s="92"/>
      <x:c r="Z10" s="92"/>
    </x:row>
    <x:row r="11" ht="118" customHeight="1">
      <x:c r="A11" s="106" t="str">
        <x:v>SATE-REC-004</x:v>
      </x:c>
      <x:c r="B11" s="107" t="str">
        <x:v>Recorder Interruption and Local Persistence</x:v>
      </x:c>
      <x:c r="C11" s="107" t="str">
        <x:v>Insufficient local storage before recording starts</x:v>
      </x:c>
      <x:c r="D11" s="107" t="str">
        <x:v>SATE Recorder; Local Storage</x:v>
      </x:c>
      <x:c r="E11" s="107" t="str">
        <x:v>Negative / Boundary</x:v>
      </x:c>
      <x:c r="F11" s="107" t="str">
        <x:v>P0</x:v>
      </x:c>
      <x:c r="G11" s="107" t="str">
        <x:v>RQ-04,RQ-07</x:v>
      </x:c>
      <x:c r="H11" s="107" t="str">
        <x:v>Verify that the recorder prevents a session that cannot be stored safely.</x:v>
      </x:c>
      <x:c r="I11" s="107" t="str">
        <x:v>Local storage is below the defined minimum free-space threshold.</x:v>
      </x:c>
      <x:c r="J11" s="107" t="str">
        <x:v>Recorder with intentionally reduced free storage.</x:v>
      </x:c>
      <x:c r="K11" s="107" t="str">
        <x:v>1. Attempt to start a recording.
2. Observe the message and controls.
3. Free sufficient storage.
4. Retry recording.</x:v>
      </x:c>
      <x:c r="L11" s="107" t="str">
        <x:v>The recorder blocks recording or clearly warns the user before capture begins. After space is freed, normal recording is available.</x:v>
      </x:c>
      <x:c r="M11" s="107" t="str">
        <x:v>No incomplete session or empty backend record is created from the blocked attempt.</x:v>
      </x:c>
      <x:c r="N11" s="107" t="str">
        <x:v>Verify free-space check, absence of zero-byte files, absence of orphan session records, and successful retry after cleanup.</x:v>
      </x:c>
      <x:c r="O11" s="107" t="str">
        <x:v>The user cannot unknowingly begin a recording that the device cannot preserve.</x:v>
      </x:c>
      <x:c r="P11" s="107" t="str"/>
      <x:c r="Q11" s="107" t="str">
        <x:v>Not Run</x:v>
      </x:c>
      <x:c r="R11" s="107" t="str"/>
      <x:c r="S11" s="108" t="str"/>
      <x:c r="T11" s="92"/>
      <x:c r="U11" s="92"/>
      <x:c r="V11" s="92"/>
      <x:c r="W11" s="92"/>
      <x:c r="X11" s="92"/>
      <x:c r="Y11" s="92"/>
      <x:c r="Z11" s="92"/>
    </x:row>
    <x:row r="12" ht="118" customHeight="1">
      <x:c r="A12" s="106" t="str">
        <x:v>SATE-REC-005</x:v>
      </x:c>
      <x:c r="B12" s="107" t="str">
        <x:v>Recorder Interruption and Local Persistence</x:v>
      </x:c>
      <x:c r="C12" s="107" t="str">
        <x:v>Local storage becomes full during recording</x:v>
      </x:c>
      <x:c r="D12" s="107" t="str">
        <x:v>SATE Recorder; Local Storage</x:v>
      </x:c>
      <x:c r="E12" s="107" t="str">
        <x:v>Recovery / Boundary</x:v>
      </x:c>
      <x:c r="F12" s="107" t="str">
        <x:v>P0</x:v>
      </x:c>
      <x:c r="G12" s="107" t="str">
        <x:v>RQ-04,RQ-06</x:v>
      </x:c>
      <x:c r="H12" s="107" t="str">
        <x:v>Verify safe termination when storage is exhausted during capture.</x:v>
      </x:c>
      <x:c r="I12" s="107" t="str">
        <x:v>Recorder starts with enough space for a short recording but not for the planned duration.</x:v>
      </x:c>
      <x:c r="J12" s="107" t="str">
        <x:v>Continue recording until storage is exhausted.</x:v>
      </x:c>
      <x:c r="K12" s="107" t="str">
        <x:v>1. Start recording.
2. Continue until the storage-full condition occurs.
3. Observe device behavior.
4. Restart if required.
5. Inspect and sync recoverable audio.</x:v>
      </x:c>
      <x:c r="L12" s="107" t="str">
        <x:v>The recorder stops safely and shows a specific storage error. It must not continue displaying Recording after writes have failed.</x:v>
      </x:c>
      <x:c r="M12" s="107" t="str">
        <x:v>Captured audio is finalized if possible, or marked corrupted/interrupted. No zero-byte Completed session is created.</x:v>
      </x:c>
      <x:c r="N12" s="107" t="str">
        <x:v>Check final playable duration, file size, error status, session count, and cleanup of temporary files.</x:v>
      </x:c>
      <x:c r="O12" s="107" t="str">
        <x:v>The condition is detected, communicated, and handled without silent corruption or false completion.</x:v>
      </x:c>
      <x:c r="P12" s="107" t="str"/>
      <x:c r="Q12" s="107" t="str">
        <x:v>Not Run</x:v>
      </x:c>
      <x:c r="R12" s="107" t="str"/>
      <x:c r="S12" s="108" t="str"/>
      <x:c r="T12" s="92"/>
      <x:c r="U12" s="92"/>
      <x:c r="V12" s="92"/>
      <x:c r="W12" s="92"/>
      <x:c r="X12" s="92"/>
      <x:c r="Y12" s="92"/>
      <x:c r="Z12" s="92"/>
    </x:row>
    <x:row r="13" ht="118" customHeight="1">
      <x:c r="A13" s="106" t="str">
        <x:v>SATE-REC-006</x:v>
      </x:c>
      <x:c r="B13" s="107" t="str">
        <x:v>Recorder Interruption and Local Persistence</x:v>
      </x:c>
      <x:c r="C13" s="107" t="str">
        <x:v>Restart during the local save/finalization step</x:v>
      </x:c>
      <x:c r="D13" s="107" t="str">
        <x:v>SATE Recorder; Local Storage; Upload Queue</x:v>
      </x:c>
      <x:c r="E13" s="107" t="str">
        <x:v>Recovery</x:v>
      </x:c>
      <x:c r="F13" s="107" t="str">
        <x:v>P0</x:v>
      </x:c>
      <x:c r="G13" s="107" t="str">
        <x:v>RQ-03,RQ-04,RQ-06</x:v>
      </x:c>
      <x:c r="H13" s="107" t="str">
        <x:v>Verify crash safety while the recorder finalizes audio and creates the upload queue item.</x:v>
      </x:c>
      <x:c r="I13" s="107" t="str">
        <x:v>A recording is ready to stop; tester can restart immediately after Stop.</x:v>
      </x:c>
      <x:c r="J13" s="107" t="str">
        <x:v>5-minute recording.</x:v>
      </x:c>
      <x:c r="K13" s="107" t="str">
        <x:v>1. Record five minutes.
2. Press Stop.
3. Restart the recorder while Save/Finalizing is displayed.
4. Restart and inspect session/queue state.
5. Allow synchronization.</x:v>
      </x:c>
      <x:c r="L13" s="107" t="str">
        <x:v>After restart, the session is either safely recovered and queued once or clearly marked failed. The UI must not show two copies.</x:v>
      </x:c>
      <x:c r="M13" s="107" t="str">
        <x:v>Only one final audio object/session is created. Temporary files are reconciled or removed.</x:v>
      </x:c>
      <x:c r="N13" s="107" t="str">
        <x:v>Compare local files, queue entries, backend records, audio duration, and processing jobs.</x:v>
      </x:c>
      <x:c r="O13" s="107" t="str">
        <x:v>No duplicate session, orphan temporary file affecting storage, or silent loss occurs.</x:v>
      </x:c>
      <x:c r="P13" s="107" t="str"/>
      <x:c r="Q13" s="107" t="str">
        <x:v>Not Run</x:v>
      </x:c>
      <x:c r="R13" s="107" t="str"/>
      <x:c r="S13" s="108" t="str"/>
      <x:c r="T13" s="92"/>
      <x:c r="U13" s="92"/>
      <x:c r="V13" s="92"/>
      <x:c r="W13" s="92"/>
      <x:c r="X13" s="92"/>
      <x:c r="Y13" s="92"/>
      <x:c r="Z13" s="92"/>
    </x:row>
    <x:row r="14" ht="118" customHeight="1">
      <x:c r="A14" s="106" t="str">
        <x:v>SATE-REC-007</x:v>
      </x:c>
      <x:c r="B14" s="107" t="str">
        <x:v>Recorder Interruption and Local Persistence</x:v>
      </x:c>
      <x:c r="C14" s="107" t="str">
        <x:v>Restart after recording stops but before upload begins</x:v>
      </x:c>
      <x:c r="D14" s="107" t="str">
        <x:v>SATE Recorder; Upload Queue; Supabase</x:v>
      </x:c>
      <x:c r="E14" s="107" t="str">
        <x:v>Recovery</x:v>
      </x:c>
      <x:c r="F14" s="107" t="str">
        <x:v>P0</x:v>
      </x:c>
      <x:c r="G14" s="107" t="str">
        <x:v>RQ-03,RQ-08,RQ-10</x:v>
      </x:c>
      <x:c r="H14" s="107" t="str">
        <x:v>Verify persistence of a locally saved, not-yet-uploaded session.</x:v>
      </x:c>
      <x:c r="I14" s="107" t="str">
        <x:v>Recording has stopped and is locally saved; network upload has not begun.</x:v>
      </x:c>
      <x:c r="J14" s="107" t="str">
        <x:v>3-minute recording.</x:v>
      </x:c>
      <x:c r="K14" s="107" t="str">
        <x:v>1. Record and stop the session.
2. Restart immediately before upload starts.
3. Reconnect to network.
4. Observe queue recovery and final result.</x:v>
      </x:c>
      <x:c r="L14" s="107" t="str">
        <x:v>The pending session reappears after restart and uploads automatically or through the documented resume action.</x:v>
      </x:c>
      <x:c r="M14" s="107" t="str">
        <x:v>One queue item maps to one session. Status progresses from pending to completed without creating a second session.</x:v>
      </x:c>
      <x:c r="N14" s="107" t="str">
        <x:v>Verify local-to-server session identity, queue persistence, audio completeness, and final status.</x:v>
      </x:c>
      <x:c r="O14" s="107" t="str">
        <x:v>The pending session survives restart and completes without user re-recording.</x:v>
      </x:c>
      <x:c r="P14" s="107" t="str"/>
      <x:c r="Q14" s="107" t="str">
        <x:v>Not Run</x:v>
      </x:c>
      <x:c r="R14" s="107" t="str"/>
      <x:c r="S14" s="108" t="str"/>
      <x:c r="T14" s="92"/>
      <x:c r="U14" s="92"/>
      <x:c r="V14" s="92"/>
      <x:c r="W14" s="92"/>
      <x:c r="X14" s="92"/>
      <x:c r="Y14" s="92"/>
      <x:c r="Z14" s="92"/>
    </x:row>
    <x:row r="15" ht="118" customHeight="1">
      <x:c r="A15" s="106" t="str">
        <x:v>SATE-NET-001</x:v>
      </x:c>
      <x:c r="B15" s="107" t="str">
        <x:v>Network, Offline, and Upload Recovery</x:v>
      </x:c>
      <x:c r="C15" s="107" t="str">
        <x:v>Recording starts and ends while fully offline</x:v>
      </x:c>
      <x:c r="D15" s="107" t="str">
        <x:v>SATE Recorder; Local Storage; Upload Queue; Supabase</x:v>
      </x:c>
      <x:c r="E15" s="107" t="str">
        <x:v>Offline / Recovery</x:v>
      </x:c>
      <x:c r="F15" s="107" t="str">
        <x:v>P0</x:v>
      </x:c>
      <x:c r="G15" s="107" t="str">
        <x:v>RQ-04,RQ-08,RQ-10</x:v>
      </x:c>
      <x:c r="H15" s="107" t="str">
        <x:v>Verify offline recording and automatic upload when connectivity returns.</x:v>
      </x:c>
      <x:c r="I15" s="107" t="str">
        <x:v>Wi-Fi is disabled or unavailable before the session starts.</x:v>
      </x:c>
      <x:c r="J15" s="107" t="str">
        <x:v>5-minute recording; restore Internet after the session is saved.</x:v>
      </x:c>
      <x:c r="K15" s="107" t="str">
        <x:v>1. Disable connectivity.
2. Record and stop a session.
3. Confirm local Pending Upload status.
4. Restore Internet.
5. Wait without manually creating a second session.
6. Review the session on the Web App.</x:v>
      </x:c>
      <x:c r="L15" s="107" t="str">
        <x:v>Recording works offline. The session is visibly queued. When Internet returns, upload starts automatically or at the documented trigger.</x:v>
      </x:c>
      <x:c r="M15" s="107" t="str">
        <x:v>One queued session uploads once, processes, and reaches Completed.</x:v>
      </x:c>
      <x:c r="N15" s="107" t="str">
        <x:v>Verify local persistence, same session ID before/after upload, complete audio, queue removal only after server acknowledgement, and no duplicate.</x:v>
      </x:c>
      <x:c r="O15" s="107" t="str">
        <x:v>Offline recording is preserved and completes automatically after connectivity returns.</x:v>
      </x:c>
      <x:c r="P15" s="107" t="str"/>
      <x:c r="Q15" s="107" t="str">
        <x:v>Not Run</x:v>
      </x:c>
      <x:c r="R15" s="107" t="str"/>
      <x:c r="S15" s="108" t="str"/>
      <x:c r="T15" s="92"/>
      <x:c r="U15" s="92"/>
      <x:c r="V15" s="92"/>
      <x:c r="W15" s="92"/>
      <x:c r="X15" s="92"/>
      <x:c r="Y15" s="92"/>
      <x:c r="Z15" s="92"/>
    </x:row>
    <x:row r="16" ht="118" customHeight="1">
      <x:c r="A16" s="106" t="str">
        <x:v>SATE-NET-002</x:v>
      </x:c>
      <x:c r="B16" s="107" t="str">
        <x:v>Network, Offline, and Upload Recovery</x:v>
      </x:c>
      <x:c r="C16" s="107" t="str">
        <x:v>Internet connection is lost during recording</x:v>
      </x:c>
      <x:c r="D16" s="107" t="str">
        <x:v>SATE Recorder; Local Storage; Network Detection</x:v>
      </x:c>
      <x:c r="E16" s="107" t="str">
        <x:v>Offline / Functional</x:v>
      </x:c>
      <x:c r="F16" s="107" t="str">
        <x:v>P0</x:v>
      </x:c>
      <x:c r="G16" s="107" t="str">
        <x:v>RQ-04,RQ-10</x:v>
      </x:c>
      <x:c r="H16" s="107" t="str">
        <x:v>Verify that recording is independent of Internet availability.</x:v>
      </x:c>
      <x:c r="I16" s="107" t="str">
        <x:v>Recording begins online.</x:v>
      </x:c>
      <x:c r="J16" s="107" t="str">
        <x:v>5-minute session; disable Internet after 1 minute and restore after Stop.</x:v>
      </x:c>
      <x:c r="K16" s="107" t="str">
        <x:v>1. Start online recording.
2. Disable Internet during capture.
3. Continue recording.
4. Stop the session while offline.
5. Restore Internet and wait for completion.</x:v>
      </x:c>
      <x:c r="L16" s="107" t="str">
        <x:v>Recording continues without interruption. The device shows offline/pending status after Stop and later uploads normally.</x:v>
      </x:c>
      <x:c r="M16" s="107" t="str">
        <x:v>One complete audio object and one session are created after reconnection.</x:v>
      </x:c>
      <x:c r="N16" s="107" t="str">
        <x:v>Check audio for gaps at the disconnect point, duration, queue state, and final transcript match.</x:v>
      </x:c>
      <x:c r="O16" s="107" t="str">
        <x:v>No capture gap, crash, duplicate session, or misleading completion status occurs.</x:v>
      </x:c>
      <x:c r="P16" s="107" t="str"/>
      <x:c r="Q16" s="107" t="str">
        <x:v>Not Run</x:v>
      </x:c>
      <x:c r="R16" s="107" t="str"/>
      <x:c r="S16" s="108" t="str"/>
      <x:c r="T16" s="92"/>
      <x:c r="U16" s="92"/>
      <x:c r="V16" s="92"/>
      <x:c r="W16" s="92"/>
      <x:c r="X16" s="92"/>
      <x:c r="Y16" s="92"/>
      <x:c r="Z16" s="92"/>
    </x:row>
    <x:row r="17" ht="118" customHeight="1">
      <x:c r="A17" s="106" t="str">
        <x:v>SATE-NET-003</x:v>
      </x:c>
      <x:c r="B17" s="107" t="str">
        <x:v>Network, Offline, and Upload Recovery</x:v>
      </x:c>
      <x:c r="C17" s="107" t="str">
        <x:v>Internet is lost after Stop but before upload starts</x:v>
      </x:c>
      <x:c r="D17" s="107" t="str">
        <x:v>SATE Recorder; Upload Queue</x:v>
      </x:c>
      <x:c r="E17" s="107" t="str">
        <x:v>Recovery</x:v>
      </x:c>
      <x:c r="F17" s="107" t="str">
        <x:v>P0</x:v>
      </x:c>
      <x:c r="G17" s="107" t="str">
        <x:v>RQ-08,RQ-10</x:v>
      </x:c>
      <x:c r="H17" s="107" t="str">
        <x:v>Verify correct queuing when a saved session cannot begin uploading.</x:v>
      </x:c>
      <x:c r="I17" s="107" t="str">
        <x:v>Recording is complete; upload has not yet started.</x:v>
      </x:c>
      <x:c r="J17" s="107" t="str">
        <x:v>3-minute recording.</x:v>
      </x:c>
      <x:c r="K17" s="107" t="str">
        <x:v>1. Stop the recording.
2. Immediately disable Internet.
3. Confirm Pending Upload status.
4. Restore Internet.
5. Observe automatic upload and processing.</x:v>
      </x:c>
      <x:c r="L17" s="107" t="str">
        <x:v>The session remains visible and queued. No repeated user action is required unless explicitly designed.</x:v>
      </x:c>
      <x:c r="M17" s="107" t="str">
        <x:v>The same session is uploaded once after reconnection. Queue state is cleared only after successful acknowledgement.</x:v>
      </x:c>
      <x:c r="N17" s="107" t="str">
        <x:v>Verify one session, one audio object, correct status transitions, and no loss of local file before acknowledgement.</x:v>
      </x:c>
      <x:c r="O17" s="107" t="str">
        <x:v>The saved session survives the outage and completes once connectivity returns.</x:v>
      </x:c>
      <x:c r="P17" s="107" t="str"/>
      <x:c r="Q17" s="107" t="str">
        <x:v>Not Run</x:v>
      </x:c>
      <x:c r="R17" s="107" t="str"/>
      <x:c r="S17" s="108" t="str"/>
      <x:c r="T17" s="92"/>
      <x:c r="U17" s="92"/>
      <x:c r="V17" s="92"/>
      <x:c r="W17" s="92"/>
      <x:c r="X17" s="92"/>
      <x:c r="Y17" s="92"/>
      <x:c r="Z17" s="92"/>
    </x:row>
    <x:row r="18" ht="118" customHeight="1">
      <x:c r="A18" s="106" t="str">
        <x:v>SATE-NET-004</x:v>
      </x:c>
      <x:c r="B18" s="107" t="str">
        <x:v>Network, Offline, and Upload Recovery</x:v>
      </x:c>
      <x:c r="C18" s="107" t="str">
        <x:v>Internet drops during an active upload</x:v>
      </x:c>
      <x:c r="D18" s="107" t="str">
        <x:v>SATE Recorder or Mobile App; Supabase Storage; Upload Queue</x:v>
      </x:c>
      <x:c r="E18" s="107" t="str">
        <x:v>Recovery / Data Integrity</x:v>
      </x:c>
      <x:c r="F18" s="107" t="str">
        <x:v>P0</x:v>
      </x:c>
      <x:c r="G18" s="107" t="str">
        <x:v>RQ-03,RQ-09,RQ-10</x:v>
      </x:c>
      <x:c r="H18" s="107" t="str">
        <x:v>Verify upload retry or resume without duplication or file corruption.</x:v>
      </x:c>
      <x:c r="I18" s="107" t="str">
        <x:v>An upload large enough to interrupt is in progress.</x:v>
      </x:c>
      <x:c r="J18" s="107" t="str">
        <x:v>10-minute or larger session; disable Internet at approximately 40% upload.</x:v>
      </x:c>
      <x:c r="K18" s="107" t="str">
        <x:v>1. Start upload.
2. Disable Internet mid-transfer.
3. Wait for failure detection.
4. Restore Internet.
5. Allow automatic retry/resume.
6. Inspect backend and Web App.</x:v>
      </x:c>
      <x:c r="L18" s="107" t="str">
        <x:v>The session changes to a retryable/pending state and later completes. The UI does not remain permanently stuck at Uploading.</x:v>
      </x:c>
      <x:c r="M18" s="107" t="str">
        <x:v>Upload resumes or restarts according to the documented strategy. Incomplete objects are overwritten, completed, or cleaned safely. One final session exists.</x:v>
      </x:c>
      <x:c r="N18" s="107" t="str">
        <x:v>Compare local/server file size, duration, checksum if available, beginning/end markers, object count, and processing job count.</x:v>
      </x:c>
      <x:c r="O18" s="107" t="str">
        <x:v>The final server audio is complete and playable, with exactly one user-visible session and no orphan file that affects later processing.</x:v>
      </x:c>
      <x:c r="P18" s="107" t="str"/>
      <x:c r="Q18" s="107" t="str">
        <x:v>Not Run</x:v>
      </x:c>
      <x:c r="R18" s="107" t="str"/>
      <x:c r="S18" s="108" t="str"/>
      <x:c r="T18" s="92"/>
      <x:c r="U18" s="92"/>
      <x:c r="V18" s="92"/>
      <x:c r="W18" s="92"/>
      <x:c r="X18" s="92"/>
      <x:c r="Y18" s="92"/>
      <x:c r="Z18" s="92"/>
    </x:row>
    <x:row r="19" ht="118" customHeight="1">
      <x:c r="A19" s="106" t="str">
        <x:v>SATE-NET-005</x:v>
      </x:c>
      <x:c r="B19" s="107" t="str">
        <x:v>Network, Offline, and Upload Recovery</x:v>
      </x:c>
      <x:c r="C19" s="107" t="str">
        <x:v>Connectivity returns while app/device is in background or screen is locked</x:v>
      </x:c>
      <x:c r="D19" s="107" t="str">
        <x:v>SATE Mobile App; SATE Recorder; OS Background Services; Upload Queue</x:v>
      </x:c>
      <x:c r="E19" s="107" t="str">
        <x:v>Recovery / Mobile Lifecycle</x:v>
      </x:c>
      <x:c r="F19" s="107" t="str">
        <x:v>P0</x:v>
      </x:c>
      <x:c r="G19" s="107" t="str">
        <x:v>RQ-10,RQ-19</x:v>
      </x:c>
      <x:c r="H19" s="107" t="str">
        <x:v>Verify the documented background upload behavior.</x:v>
      </x:c>
      <x:c r="I19" s="107" t="str">
        <x:v>A session is pending offline; mobile app is backgrounded or phone is locked before Internet returns.</x:v>
      </x:c>
      <x:c r="J19" s="107" t="str">
        <x:v>Pending 5-minute session; supported phone OS.</x:v>
      </x:c>
      <x:c r="K19" s="107" t="str">
        <x:v>1. Create an offline pending session.
2. Background the app or lock the phone.
3. Restore Internet.
4. Wait for the documented background window.
5. Unlock/open the app if necessary.
6. Check completion.</x:v>
      </x:c>
      <x:c r="L19" s="107" t="str">
        <x:v>Upload either starts in the background as designed or begins immediately when the app is reopened. The pending session is not lost.</x:v>
      </x:c>
      <x:c r="M19" s="107" t="str">
        <x:v>Queue state remains durable and the session uploads once.</x:v>
      </x:c>
      <x:c r="N19" s="107" t="str">
        <x:v>Verify OS logs if available, queue persistence, session count, and final audio completeness.</x:v>
      </x:c>
      <x:c r="O19" s="107" t="str">
        <x:v>Behavior matches the supported background policy and no session remains permanently stranded.</x:v>
      </x:c>
      <x:c r="P19" s="107" t="str"/>
      <x:c r="Q19" s="107" t="str">
        <x:v>Not Run</x:v>
      </x:c>
      <x:c r="R19" s="107" t="str"/>
      <x:c r="S19" s="108" t="str"/>
      <x:c r="T19" s="92"/>
      <x:c r="U19" s="92"/>
      <x:c r="V19" s="92"/>
      <x:c r="W19" s="92"/>
      <x:c r="X19" s="92"/>
      <x:c r="Y19" s="92"/>
      <x:c r="Z19" s="92"/>
    </x:row>
    <x:row r="20" ht="118" customHeight="1">
      <x:c r="A20" s="106" t="str">
        <x:v>SATE-NET-006</x:v>
      </x:c>
      <x:c r="B20" s="107" t="str">
        <x:v>Network, Offline, and Upload Recovery</x:v>
      </x:c>
      <x:c r="C20" s="107" t="str">
        <x:v>Wi-Fi is connected but Internet access is unavailable</x:v>
      </x:c>
      <x:c r="D20" s="107" t="str">
        <x:v>SATE Recorder; Mobile App; Network Detection</x:v>
      </x:c>
      <x:c r="E20" s="107" t="str">
        <x:v>Negative / Recovery</x:v>
      </x:c>
      <x:c r="F20" s="107" t="str">
        <x:v>P1</x:v>
      </x:c>
      <x:c r="G20" s="107" t="str">
        <x:v>RQ-10</x:v>
      </x:c>
      <x:c r="H20" s="107" t="str">
        <x:v>Verify that the system checks real Internet/backend reachability rather than Wi-Fi association only.</x:v>
      </x:c>
      <x:c r="I20" s="107" t="str">
        <x:v>Connect to a router with no Internet access.</x:v>
      </x:c>
      <x:c r="J20" s="107" t="str">
        <x:v>3-minute session.</x:v>
      </x:c>
      <x:c r="K20" s="107" t="str">
        <x:v>1. Connect to Wi-Fi without Internet.
2. Record and stop a session.
3. Observe upload status.
4. Restore Internet without changing Wi-Fi if possible.
5. Wait for upload.</x:v>
      </x:c>
      <x:c r="L20" s="107" t="str">
        <x:v>The UI indicates Offline, Cannot Reach Service, or Pending Upload rather than claiming successful upload.</x:v>
      </x:c>
      <x:c r="M20" s="107" t="str">
        <x:v>No false server acknowledgement is stored. The queue retries safely after reachability returns.</x:v>
      </x:c>
      <x:c r="N20" s="107" t="str">
        <x:v>Verify local file remains, backend has no incomplete Completed record, and final upload creates one session.</x:v>
      </x:c>
      <x:c r="O20" s="107" t="str">
        <x:v>The system does not confuse Wi-Fi connection with successful synchronization.</x:v>
      </x:c>
      <x:c r="P20" s="107" t="str"/>
      <x:c r="Q20" s="107" t="str">
        <x:v>Not Run</x:v>
      </x:c>
      <x:c r="R20" s="107" t="str"/>
      <x:c r="S20" s="108" t="str"/>
      <x:c r="T20" s="92"/>
      <x:c r="U20" s="92"/>
      <x:c r="V20" s="92"/>
      <x:c r="W20" s="92"/>
      <x:c r="X20" s="92"/>
      <x:c r="Y20" s="92"/>
      <x:c r="Z20" s="92"/>
    </x:row>
    <x:row r="21" ht="118" customHeight="1">
      <x:c r="A21" s="106" t="str">
        <x:v>SATE-NET-007</x:v>
      </x:c>
      <x:c r="B21" s="107" t="str">
        <x:v>Network, Offline, and Upload Recovery</x:v>
      </x:c>
      <x:c r="C21" s="107" t="str">
        <x:v>Captive portal or authentication-required Wi-Fi</x:v>
      </x:c>
      <x:c r="D21" s="107" t="str">
        <x:v>SATE Recorder; Mobile App; Network Detection</x:v>
      </x:c>
      <x:c r="E21" s="107" t="str">
        <x:v>Negative / Compatibility</x:v>
      </x:c>
      <x:c r="F21" s="107" t="str">
        <x:v>P2</x:v>
      </x:c>
      <x:c r="G21" s="107" t="str">
        <x:v>RQ-10,RQ-19</x:v>
      </x:c>
      <x:c r="H21" s="107" t="str">
        <x:v>Verify safe behavior on a network that requires browser sign-in.</x:v>
      </x:c>
      <x:c r="I21" s="107" t="str">
        <x:v>Connect to a captive-portal network without completing sign-in.</x:v>
      </x:c>
      <x:c r="J21" s="107" t="str">
        <x:v>3-minute pending session.</x:v>
      </x:c>
      <x:c r="K21" s="107" t="str">
        <x:v>1. Connect to captive-portal Wi-Fi.
2. Attempt sync.
3. Complete portal sign-in.
4. Observe retry and completion.</x:v>
      </x:c>
      <x:c r="L21" s="107" t="str">
        <x:v>The system shows a network error/pending state until Internet is usable, then retries without creating a second session.</x:v>
      </x:c>
      <x:c r="M21" s="107" t="str">
        <x:v>No invalid Completed state or duplicate upload occurs.</x:v>
      </x:c>
      <x:c r="N21" s="107" t="str">
        <x:v>Verify queue durability, one final session, and correct error recovery.</x:v>
      </x:c>
      <x:c r="O21" s="107" t="str">
        <x:v>The session remains safe until the network becomes usable and then completes normally.</x:v>
      </x:c>
      <x:c r="P21" s="107" t="str"/>
      <x:c r="Q21" s="107" t="str">
        <x:v>Not Run</x:v>
      </x:c>
      <x:c r="R21" s="107" t="str"/>
      <x:c r="S21" s="108" t="str"/>
      <x:c r="T21" s="92"/>
      <x:c r="U21" s="92"/>
      <x:c r="V21" s="92"/>
      <x:c r="W21" s="92"/>
      <x:c r="X21" s="92"/>
      <x:c r="Y21" s="92"/>
      <x:c r="Z21" s="92"/>
    </x:row>
    <x:row r="22" ht="118" customHeight="1">
      <x:c r="A22" s="106" t="str">
        <x:v>SATE-NET-008</x:v>
      </x:c>
      <x:c r="B22" s="107" t="str">
        <x:v>Network, Offline, and Upload Recovery</x:v>
      </x:c>
      <x:c r="C22" s="107" t="str">
        <x:v>Switch from one Wi-Fi network to another or to a hotspot during upload</x:v>
      </x:c>
      <x:c r="D22" s="107" t="str">
        <x:v>SATE Recorder or Mobile App; Upload Queue; Supabase</x:v>
      </x:c>
      <x:c r="E22" s="107" t="str">
        <x:v>Recovery / Compatibility</x:v>
      </x:c>
      <x:c r="F22" s="107" t="str">
        <x:v>P1</x:v>
      </x:c>
      <x:c r="G22" s="107" t="str">
        <x:v>RQ-09,RQ-10</x:v>
      </x:c>
      <x:c r="H22" s="107" t="str">
        <x:v>Verify transfer recovery after IP/network changes.</x:v>
      </x:c>
      <x:c r="I22" s="107" t="str">
        <x:v>Upload is in progress and a second valid network is available.</x:v>
      </x:c>
      <x:c r="J22" s="107" t="str">
        <x:v>10-minute recording.</x:v>
      </x:c>
      <x:c r="K22" s="107" t="str">
        <x:v>1. Start upload on Network A.
2. Disconnect from Network A mid-upload.
3. Connect to Network B or hotspot.
4. Wait for retry/resume.
5. Inspect final session.</x:v>
      </x:c>
      <x:c r="L22" s="107" t="str">
        <x:v>The upload recovers without requiring a new recording. Status updates remain understandable.</x:v>
      </x:c>
      <x:c r="M22" s="107" t="str">
        <x:v>One final audio object is committed. Any partial upload from Network A is reconciled.</x:v>
      </x:c>
      <x:c r="N22" s="107" t="str">
        <x:v>Check object/session counts, file completeness, processing job count, and final transcript.</x:v>
      </x:c>
      <x:c r="O22" s="107" t="str">
        <x:v>Network switching does not produce corruption, duplication, or permanent Uploading state.</x:v>
      </x:c>
      <x:c r="P22" s="107" t="str"/>
      <x:c r="Q22" s="107" t="str">
        <x:v>Not Run</x:v>
      </x:c>
      <x:c r="R22" s="107" t="str"/>
      <x:c r="S22" s="108" t="str"/>
      <x:c r="T22" s="92"/>
      <x:c r="U22" s="92"/>
      <x:c r="V22" s="92"/>
      <x:c r="W22" s="92"/>
      <x:c r="X22" s="92"/>
      <x:c r="Y22" s="92"/>
      <x:c r="Z22" s="92"/>
    </x:row>
    <x:row r="23" ht="118" customHeight="1">
      <x:c r="A23" s="106" t="str">
        <x:v>SATE-NET-009</x:v>
      </x:c>
      <x:c r="B23" s="107" t="str">
        <x:v>Network, Offline, and Upload Recovery</x:v>
      </x:c>
      <x:c r="C23" s="107" t="str">
        <x:v>Rapidly flapping or weak network</x:v>
      </x:c>
      <x:c r="D23" s="107" t="str">
        <x:v>SATE Recorder or Mobile App; Upload Queue</x:v>
      </x:c>
      <x:c r="E23" s="107" t="str">
        <x:v>Stress / Reliability</x:v>
      </x:c>
      <x:c r="F23" s="107" t="str">
        <x:v>P1</x:v>
      </x:c>
      <x:c r="G23" s="107" t="str">
        <x:v>RQ-09,RQ-10,RQ-20</x:v>
      </x:c>
      <x:c r="H23" s="107" t="str">
        <x:v>Verify bounded retry behavior under unstable connectivity.</x:v>
      </x:c>
      <x:c r="I23" s="107" t="str">
        <x:v>Network can be toggled or throttled.</x:v>
      </x:c>
      <x:c r="J23" s="107" t="str">
        <x:v>10-minute session; alternate online/offline several times.</x:v>
      </x:c>
      <x:c r="K23" s="107" t="str">
        <x:v>1. Start upload.
2. Alternate online and offline states several times.
3. End with a stable connection.
4. Wait for completion.
5. Review retry count and final records.</x:v>
      </x:c>
      <x:c r="L23" s="107" t="str">
        <x:v>The UI does not spam duplicate sessions or become unresponsive. It eventually completes or reaches a clear retryable state.</x:v>
      </x:c>
      <x:c r="M23" s="107" t="str">
        <x:v>Retries are bounded and idempotent. One canonical session and one valid final audio object remain.</x:v>
      </x:c>
      <x:c r="N23" s="107" t="str">
        <x:v>Review attempt count, backoff timing, session/object counts, final file integrity, and queue cleanup.</x:v>
      </x:c>
      <x:c r="O23" s="107" t="str">
        <x:v>The system recovers when stability returns and never creates conflicting final states.</x:v>
      </x:c>
      <x:c r="P23" s="107" t="str"/>
      <x:c r="Q23" s="107" t="str">
        <x:v>Not Run</x:v>
      </x:c>
      <x:c r="R23" s="107" t="str"/>
      <x:c r="S23" s="108" t="str"/>
      <x:c r="T23" s="92"/>
      <x:c r="U23" s="92"/>
      <x:c r="V23" s="92"/>
      <x:c r="W23" s="92"/>
      <x:c r="X23" s="92"/>
      <x:c r="Y23" s="92"/>
      <x:c r="Z23" s="92"/>
    </x:row>
    <x:row r="24" ht="118" customHeight="1">
      <x:c r="A24" s="106" t="str">
        <x:v>SATE-NET-010</x:v>
      </x:c>
      <x:c r="B24" s="107" t="str">
        <x:v>Network, Offline, and Upload Recovery</x:v>
      </x:c>
      <x:c r="C24" s="107" t="str">
        <x:v>User taps manual Retry while automatic retry is already running</x:v>
      </x:c>
      <x:c r="D24" s="107" t="str">
        <x:v>SATE Mobile App or Recorder; Upload Queue; Supabase</x:v>
      </x:c>
      <x:c r="E24" s="107" t="str">
        <x:v>Concurrency / Idempotency</x:v>
      </x:c>
      <x:c r="F24" s="107" t="str">
        <x:v>P0</x:v>
      </x:c>
      <x:c r="G24" s="107" t="str">
        <x:v>RQ-03,RQ-09,RQ-13</x:v>
      </x:c>
      <x:c r="H24" s="107" t="str">
        <x:v>Verify that manual and automatic retry paths cannot duplicate the upload.</x:v>
      </x:c>
      <x:c r="I24" s="107" t="str">
        <x:v>A retryable upload failure is present and automatic retry is scheduled or active.</x:v>
      </x:c>
      <x:c r="J24" s="107" t="str">
        <x:v>5-minute failed/pending session.</x:v>
      </x:c>
      <x:c r="K24" s="107" t="str">
        <x:v>1. Trigger an upload failure.
2. Restore connectivity.
3. Tap Retry repeatedly while automatic retry begins.
4. Wait for final completion.
5. Inspect backend attempts and records.</x:v>
      </x:c>
      <x:c r="L24" s="107" t="str">
        <x:v>Only one active upload is presented to the user. Extra taps are disabled, ignored, or safely deduplicated.</x:v>
      </x:c>
      <x:c r="M24" s="107" t="str">
        <x:v>Multiple requests, if sent, resolve to one canonical session/object and one final processing result.</x:v>
      </x:c>
      <x:c r="N24" s="107" t="str">
        <x:v>Count upload requests, storage objects, sessions, processing jobs, and user-visible entries.</x:v>
      </x:c>
      <x:c r="O24" s="107" t="str">
        <x:v>Manual/automatic retry concurrency never creates a duplicate or corrupt final session.</x:v>
      </x:c>
      <x:c r="P24" s="107" t="str"/>
      <x:c r="Q24" s="107" t="str">
        <x:v>Not Run</x:v>
      </x:c>
      <x:c r="R24" s="107" t="str"/>
      <x:c r="S24" s="108" t="str"/>
      <x:c r="T24" s="92"/>
      <x:c r="U24" s="92"/>
      <x:c r="V24" s="92"/>
      <x:c r="W24" s="92"/>
      <x:c r="X24" s="92"/>
      <x:c r="Y24" s="92"/>
      <x:c r="Z24" s="92"/>
    </x:row>
    <x:row r="25" ht="118" customHeight="1">
      <x:c r="A25" s="106" t="str">
        <x:v>SATE-QUE-001</x:v>
      </x:c>
      <x:c r="B25" s="107" t="str">
        <x:v>Queue, Batch, and Concurrency</x:v>
      </x:c>
      <x:c r="C25" s="107" t="str">
        <x:v>Five recordings made consecutively while online</x:v>
      </x:c>
      <x:c r="D25" s="107" t="str">
        <x:v>SATE Recorder; Upload Queue; Supabase; AI service</x:v>
      </x:c>
      <x:c r="E25" s="107" t="str">
        <x:v>Functional / Batch</x:v>
      </x:c>
      <x:c r="F25" s="107" t="str">
        <x:v>P0</x:v>
      </x:c>
      <x:c r="G25" s="107" t="str">
        <x:v>RQ-03,RQ-08</x:v>
      </x:c>
      <x:c r="H25" s="107" t="str">
        <x:v>Verify unique session creation and correct ordering for normal back-to-back use.</x:v>
      </x:c>
      <x:c r="I25" s="107" t="str">
        <x:v>Stable network; no pending sessions.</x:v>
      </x:c>
      <x:c r="J25" s="107" t="str">
        <x:v>Recordings of 30 sec, 1 min, 2 min, 3 min, and 5 min, each with a unique spoken label.</x:v>
      </x:c>
      <x:c r="K25" s="107" t="str">
        <x:v>1. Create five recordings with less than 20 seconds between sessions.
2. Allow uploads to occur.
3. Review the queue and Web App.
4. Open each transcript.</x:v>
      </x:c>
      <x:c r="L25" s="107" t="str">
        <x:v>All five sessions appear once with correct order, labels, dates, and durations. Starting the next session does not overwrite the previous one.</x:v>
      </x:c>
      <x:c r="M25" s="107" t="str">
        <x:v>Five unique session IDs, five correct audio objects, and five result sets are created.</x:v>
      </x:c>
      <x:c r="N25" s="107" t="str">
        <x:v>Match each audio beginning/end marker to its transcript; compare timestamps, duration, and session IDs.</x:v>
      </x:c>
      <x:c r="O25" s="107" t="str">
        <x:v>All five sessions complete without overwrite, merging, omission, or cross-session transcript assignment.</x:v>
      </x:c>
      <x:c r="P25" s="107" t="str"/>
      <x:c r="Q25" s="107" t="str">
        <x:v>Not Run</x:v>
      </x:c>
      <x:c r="R25" s="107" t="str"/>
      <x:c r="S25" s="108" t="str"/>
      <x:c r="T25" s="92"/>
      <x:c r="U25" s="92"/>
      <x:c r="V25" s="92"/>
      <x:c r="W25" s="92"/>
      <x:c r="X25" s="92"/>
      <x:c r="Y25" s="92"/>
      <x:c r="Z25" s="92"/>
    </x:row>
    <x:row r="26" ht="118" customHeight="1">
      <x:c r="A26" s="106" t="str">
        <x:v>SATE-QUE-002</x:v>
      </x:c>
      <x:c r="B26" s="107" t="str">
        <x:v>Queue, Batch, and Concurrency</x:v>
      </x:c>
      <x:c r="C26" s="107" t="str">
        <x:v>Start a new recording while the previous session is uploading</x:v>
      </x:c>
      <x:c r="D26" s="107" t="str">
        <x:v>SATE Recorder; Upload Queue; Local Storage; Supabase</x:v>
      </x:c>
      <x:c r="E26" s="107" t="str">
        <x:v>Concurrency / Functional</x:v>
      </x:c>
      <x:c r="F26" s="107" t="str">
        <x:v>P0</x:v>
      </x:c>
      <x:c r="G26" s="107" t="str">
        <x:v>RQ-03,RQ-08,RQ-10</x:v>
      </x:c>
      <x:c r="H26" s="107" t="str">
        <x:v>Verify simultaneous recording and background upload, or correct prevention if unsupported.</x:v>
      </x:c>
      <x:c r="I26" s="107" t="str">
        <x:v>Session A is uploading; recorder is ready for another action.</x:v>
      </x:c>
      <x:c r="J26" s="107" t="str">
        <x:v>Session A: 10 minutes; Session B: 2 minutes.</x:v>
      </x:c>
      <x:c r="K26" s="107" t="str">
        <x:v>1. Start uploading Session A.
2. Attempt to start Session B.
3. Complete Session B.
4. Wait for both sessions to finish.
5. Review results.</x:v>
      </x:c>
      <x:c r="L26" s="107" t="str">
        <x:v>The UI follows the documented rule: either allows Session B safely or clearly blocks it. If allowed, statuses remain distinct.</x:v>
      </x:c>
      <x:c r="M26" s="107" t="str">
        <x:v>Sessions A and B retain unique IDs, files, statuses, and processing jobs.</x:v>
      </x:c>
      <x:c r="N26" s="107" t="str">
        <x:v>Verify no audio mixing, file overwrite, shared session ID, or status crossover.</x:v>
      </x:c>
      <x:c r="O26" s="107" t="str">
        <x:v>Both sessions are handled correctly according to the documented concurrency requirement.</x:v>
      </x:c>
      <x:c r="P26" s="107" t="str"/>
      <x:c r="Q26" s="107" t="str">
        <x:v>Not Run</x:v>
      </x:c>
      <x:c r="R26" s="107" t="str"/>
      <x:c r="S26" s="108" t="str"/>
      <x:c r="T26" s="92"/>
      <x:c r="U26" s="92"/>
      <x:c r="V26" s="92"/>
      <x:c r="W26" s="92"/>
      <x:c r="X26" s="92"/>
      <x:c r="Y26" s="92"/>
      <x:c r="Z26" s="92"/>
    </x:row>
    <x:row r="27" ht="118" customHeight="1">
      <x:c r="A27" s="106" t="str">
        <x:v>SATE-QUE-003</x:v>
      </x:c>
      <x:c r="B27" s="107" t="str">
        <x:v>Queue, Batch, and Concurrency</x:v>
      </x:c>
      <x:c r="C27" s="107" t="str">
        <x:v>Five offline recordings queued and uploaded later</x:v>
      </x:c>
      <x:c r="D27" s="107" t="str">
        <x:v>SATE Recorder; Local Storage; Upload Queue; Supabase</x:v>
      </x:c>
      <x:c r="E27" s="107" t="str">
        <x:v>Offline / Batch</x:v>
      </x:c>
      <x:c r="F27" s="107" t="str">
        <x:v>P0</x:v>
      </x:c>
      <x:c r="G27" s="107" t="str">
        <x:v>RQ-04,RQ-08,RQ-10</x:v>
      </x:c>
      <x:c r="H27" s="107" t="str">
        <x:v>Verify durable multi-session queueing.</x:v>
      </x:c>
      <x:c r="I27" s="107" t="str">
        <x:v>Device is offline and has sufficient storage.</x:v>
      </x:c>
      <x:c r="J27" s="107" t="str">
        <x:v>Five recordings with unique labels and varying lengths.</x:v>
      </x:c>
      <x:c r="K27" s="107" t="str">
        <x:v>1. Disable Internet.
2. Record five sessions.
3. Restart the recorder/app once while still offline.
4. Confirm all five remain queued.
5. Restore Internet.
6. Wait for all sessions to complete.</x:v>
      </x:c>
      <x:c r="L27" s="107" t="str">
        <x:v>All five queued sessions remain visible after restart and later upload. Progress/status is shown per session.</x:v>
      </x:c>
      <x:c r="M27" s="107" t="str">
        <x:v>Five unique sessions and five complete audio objects are committed. Queue entries are removed only after acknowledgement.</x:v>
      </x:c>
      <x:c r="N27" s="107" t="str">
        <x:v>Check queue persistence, upload order, session count, audio/transcript mapping, and no duplicates.</x:v>
      </x:c>
      <x:c r="O27" s="107" t="str">
        <x:v>No queued session is lost, merged, duplicated, or indefinitely blocked.</x:v>
      </x:c>
      <x:c r="P27" s="107" t="str"/>
      <x:c r="Q27" s="107" t="str">
        <x:v>Not Run</x:v>
      </x:c>
      <x:c r="R27" s="107" t="str"/>
      <x:c r="S27" s="108" t="str"/>
      <x:c r="T27" s="92"/>
      <x:c r="U27" s="92"/>
      <x:c r="V27" s="92"/>
      <x:c r="W27" s="92"/>
      <x:c r="X27" s="92"/>
      <x:c r="Y27" s="92"/>
      <x:c r="Z27" s="92"/>
    </x:row>
    <x:row r="28" ht="118" customHeight="1">
      <x:c r="A28" s="106" t="str">
        <x:v>SATE-QUE-004</x:v>
      </x:c>
      <x:c r="B28" s="107" t="str">
        <x:v>Queue, Batch, and Concurrency</x:v>
      </x:c>
      <x:c r="C28" s="107" t="str">
        <x:v>One queued session fails while later sessions continue</x:v>
      </x:c>
      <x:c r="D28" s="107" t="str">
        <x:v>Upload Queue; Supabase; AI service</x:v>
      </x:c>
      <x:c r="E28" s="107" t="str">
        <x:v>Reliability / Fault Isolation</x:v>
      </x:c>
      <x:c r="F28" s="107" t="str">
        <x:v>P0</x:v>
      </x:c>
      <x:c r="G28" s="107" t="str">
        <x:v>RQ-08,RQ-11,RQ-13</x:v>
      </x:c>
      <x:c r="H28" s="107" t="str">
        <x:v>Verify that a single bad item does not block the entire queue.</x:v>
      </x:c>
      <x:c r="I28" s="107" t="str">
        <x:v>At least three sessions are queued; a fault can be injected for Session 2.</x:v>
      </x:c>
      <x:c r="J28" s="107" t="str">
        <x:v>Three queued sessions; cause Session 2 upload or processing to fail.</x:v>
      </x:c>
      <x:c r="K28" s="107" t="str">
        <x:v>1. Queue Sessions 1-3.
2. Inject a failure for Session 2.
3. Restore normal service.
4. Observe Sessions 1 and 3.
5. Retry Session 2.</x:v>
      </x:c>
      <x:c r="L28" s="107" t="str">
        <x:v>Each session shows its own status. Failure of Session 2 does not hide or freeze Sessions 1 and 3.</x:v>
      </x:c>
      <x:c r="M28" s="107" t="str">
        <x:v>Sessions 1 and 3 reach Completed. Session 2 reaches a defined failed/retryable state and can later complete without duplication.</x:v>
      </x:c>
      <x:c r="N28" s="107" t="str">
        <x:v>Verify per-session attempt counts, queue progression, final session count, and audio mapping.</x:v>
      </x:c>
      <x:c r="O28" s="107" t="str">
        <x:v>Queue processing is fault-isolated and recoverable.</x:v>
      </x:c>
      <x:c r="P28" s="107" t="str"/>
      <x:c r="Q28" s="107" t="str">
        <x:v>Not Run</x:v>
      </x:c>
      <x:c r="R28" s="107" t="str"/>
      <x:c r="S28" s="108" t="str"/>
      <x:c r="T28" s="92"/>
      <x:c r="U28" s="92"/>
      <x:c r="V28" s="92"/>
      <x:c r="W28" s="92"/>
      <x:c r="X28" s="92"/>
      <x:c r="Y28" s="92"/>
      <x:c r="Z28" s="92"/>
    </x:row>
    <x:row r="29" ht="118" customHeight="1">
      <x:c r="A29" s="106" t="str">
        <x:v>SATE-QUE-005</x:v>
      </x:c>
      <x:c r="B29" s="107" t="str">
        <x:v>Queue, Batch, and Concurrency</x:v>
      </x:c>
      <x:c r="C29" s="107" t="str">
        <x:v>Queue order and status persist across app/recorder restart</x:v>
      </x:c>
      <x:c r="D29" s="107" t="str">
        <x:v>SATE Recorder or Mobile App; Upload Queue</x:v>
      </x:c>
      <x:c r="E29" s="107" t="str">
        <x:v>Recovery / Batch</x:v>
      </x:c>
      <x:c r="F29" s="107" t="str">
        <x:v>P0</x:v>
      </x:c>
      <x:c r="G29" s="107" t="str">
        <x:v>RQ-08,RQ-10</x:v>
      </x:c>
      <x:c r="H29" s="107" t="str">
        <x:v>Verify durable queue state and deterministic resumption.</x:v>
      </x:c>
      <x:c r="I29" s="107" t="str">
        <x:v>Several sessions are Pending, Uploading, and Failed/Retryable.</x:v>
      </x:c>
      <x:c r="J29" s="107" t="str">
        <x:v>Three or more sessions in different queue states.</x:v>
      </x:c>
      <x:c r="K29" s="107" t="str">
        <x:v>1. Create mixed queue states.
2. Restart the recorder/app.
3. Inspect order and statuses.
4. Restore connectivity/service.
5. Observe resumption.</x:v>
      </x:c>
      <x:c r="L29" s="107" t="str">
        <x:v>All queue entries reappear with correct identities and understandable statuses.</x:v>
      </x:c>
      <x:c r="M29" s="107" t="str">
        <x:v>Queue metadata is restored. No entry is silently dropped or duplicated; final states are consistent.</x:v>
      </x:c>
      <x:c r="N29" s="107" t="str">
        <x:v>Compare queue entries before/after restart, session IDs, attempt counts, and final records.</x:v>
      </x:c>
      <x:c r="O29" s="107" t="str">
        <x:v>Restart does not alter session identity, lose queue entries, or create duplicate uploads.</x:v>
      </x:c>
      <x:c r="P29" s="107" t="str"/>
      <x:c r="Q29" s="107" t="str">
        <x:v>Not Run</x:v>
      </x:c>
      <x:c r="R29" s="107" t="str"/>
      <x:c r="S29" s="108" t="str"/>
      <x:c r="T29" s="92"/>
      <x:c r="U29" s="92"/>
      <x:c r="V29" s="92"/>
      <x:c r="W29" s="92"/>
      <x:c r="X29" s="92"/>
      <x:c r="Y29" s="92"/>
      <x:c r="Z29" s="92"/>
    </x:row>
    <x:row r="30" ht="118" customHeight="1">
      <x:c r="A30" s="106" t="str">
        <x:v>SATE-QUE-006</x:v>
      </x:c>
      <x:c r="B30" s="107" t="str">
        <x:v>Queue, Batch, and Concurrency</x:v>
      </x:c>
      <x:c r="C30" s="107" t="str">
        <x:v>Same recording reaches backend through direct Wi-Fi and mobile-app paths</x:v>
      </x:c>
      <x:c r="D30" s="107" t="str">
        <x:v>SATE Recorder; SATE Mobile App; Supabase; Edge Functions</x:v>
      </x:c>
      <x:c r="E30" s="107" t="str">
        <x:v>Architecture / Idempotency</x:v>
      </x:c>
      <x:c r="F30" s="107" t="str">
        <x:v>P0</x:v>
      </x:c>
      <x:c r="G30" s="107" t="str">
        <x:v>RQ-03,RQ-21</x:v>
      </x:c>
      <x:c r="H30" s="107" t="str">
        <x:v>Verify deduplication when both supported data paths attempt to sync the same source recording.</x:v>
      </x:c>
      <x:c r="I30" s="107" t="str">
        <x:v>Direct Wi-Fi and BLE/mobile paths are both enabled for the same test recording, or the condition can be simulated.</x:v>
      </x:c>
      <x:c r="J30" s="107" t="str">
        <x:v>One uniquely labeled 5-minute recording.</x:v>
      </x:c>
      <x:c r="K30" s="107" t="str">
        <x:v>1. Create one recording.
2. Trigger/allow both direct Wi-Fi and mobile-app sync paths.
3. Wait for all requests to finish.
4. Inspect backend and Web App.</x:v>
      </x:c>
      <x:c r="L30" s="107" t="str">
        <x:v>The user sees one session only. Any duplicate-path message is clear and non-blocking.</x:v>
      </x:c>
      <x:c r="M30" s="107" t="str">
        <x:v>Backend identifies the same source recording and commits one canonical session/audio/result. Duplicate transport attempts are linked or rejected safely.</x:v>
      </x:c>
      <x:c r="N30" s="107" t="str">
        <x:v>Compare source recording ID, idempotency key, session/object/job counts, and final transcript.</x:v>
      </x:c>
      <x:c r="O30" s="107" t="str">
        <x:v>Dual-path delivery never creates duplicate sessions, conflicting metadata, or double processing.</x:v>
      </x:c>
      <x:c r="P30" s="107" t="str"/>
      <x:c r="Q30" s="107" t="str">
        <x:v>Not Run</x:v>
      </x:c>
      <x:c r="R30" s="107" t="str"/>
      <x:c r="S30" s="108" t="str"/>
      <x:c r="T30" s="92"/>
      <x:c r="U30" s="92"/>
      <x:c r="V30" s="92"/>
      <x:c r="W30" s="92"/>
      <x:c r="X30" s="92"/>
      <x:c r="Y30" s="92"/>
      <x:c r="Z30" s="92"/>
    </x:row>
    <x:row r="31" ht="118" customHeight="1">
      <x:c r="A31" s="106" t="str">
        <x:v>SATE-LONG-001</x:v>
      </x:c>
      <x:c r="B31" s="107" t="str">
        <x:v>Long Session and Performance</x:v>
      </x:c>
      <x:c r="C31" s="107" t="str">
        <x:v>Recording at the 30-minute boundary</x:v>
      </x:c>
      <x:c r="D31" s="107" t="str">
        <x:v>SATE Recorder; Local Storage; Upload; AI service; Web App</x:v>
      </x:c>
      <x:c r="E31" s="107" t="str">
        <x:v>Boundary / Performance</x:v>
      </x:c>
      <x:c r="F31" s="107" t="str">
        <x:v>P0</x:v>
      </x:c>
      <x:c r="G31" s="107" t="str">
        <x:v>RQ-07,RQ-20</x:v>
      </x:c>
      <x:c r="H31" s="107" t="str">
        <x:v>Verify behavior at the stated long-session threshold.</x:v>
      </x:c>
      <x:c r="I31" s="107" t="str">
        <x:v>Device is fully charged with sufficient storage and stable network.</x:v>
      </x:c>
      <x:c r="J31" s="107" t="str">
        <x:v>Exactly 30-minute session with beginning, midpoint, and end markers.</x:v>
      </x:c>
      <x:c r="K31" s="107" t="str">
        <x:v>1. Record exactly 30 minutes.
2. Stop and sync.
3. Wait for processing.
4. Review audio, transcript, annotations, and PDF.</x:v>
      </x:c>
      <x:c r="L31" s="107" t="str">
        <x:v>No timeout, crash, or unexplained warning occurs at the boundary. Progress remains responsive.</x:v>
      </x:c>
      <x:c r="M31" s="107" t="str">
        <x:v>One complete audio object and result set are created within the documented SLA.</x:v>
      </x:c>
      <x:c r="N31" s="107" t="str">
        <x:v>Check complete duration, all spoken markers, file size, memory/error logs, transcript coverage, and PDF pagination.</x:v>
      </x:c>
      <x:c r="O31" s="107" t="str">
        <x:v>The complete 30-minute session is preserved, processed, reviewed, and exported successfully.</x:v>
      </x:c>
      <x:c r="P31" s="107" t="str"/>
      <x:c r="Q31" s="107" t="str">
        <x:v>Not Run</x:v>
      </x:c>
      <x:c r="R31" s="107" t="str"/>
      <x:c r="S31" s="108" t="str"/>
      <x:c r="T31" s="92"/>
      <x:c r="U31" s="92"/>
      <x:c r="V31" s="92"/>
      <x:c r="W31" s="92"/>
      <x:c r="X31" s="92"/>
      <x:c r="Y31" s="92"/>
      <x:c r="Z31" s="92"/>
    </x:row>
    <x:row r="32" ht="118" customHeight="1">
      <x:c r="A32" s="106" t="str">
        <x:v>SATE-LONG-002</x:v>
      </x:c>
      <x:c r="B32" s="107" t="str">
        <x:v>Long Session and Performance</x:v>
      </x:c>
      <x:c r="C32" s="107" t="str">
        <x:v>Forty-five-minute recording</x:v>
      </x:c>
      <x:c r="D32" s="107" t="str">
        <x:v>SATE Recorder; Supabase; AI service; Web App</x:v>
      </x:c>
      <x:c r="E32" s="107" t="str">
        <x:v>Performance / End-to-End</x:v>
      </x:c>
      <x:c r="F32" s="107" t="str">
        <x:v>P0</x:v>
      </x:c>
      <x:c r="G32" s="107" t="str">
        <x:v>RQ-07,RQ-20</x:v>
      </x:c>
      <x:c r="H32" s="107" t="str">
        <x:v>Verify a realistic extended clinical session.</x:v>
      </x:c>
      <x:c r="I32" s="107" t="str">
        <x:v>Battery, storage, and network are sufficient.</x:v>
      </x:c>
      <x:c r="J32" s="107" t="str">
        <x:v>45-minute recording with markers every 10 minutes.</x:v>
      </x:c>
      <x:c r="K32" s="107" t="str">
        <x:v>1. Record 45 minutes.
2. Stop and sync.
3. Monitor upload and processing time.
4. Review all markers in audio/transcript.
5. Export PDF.</x:v>
      </x:c>
      <x:c r="L32" s="107" t="str">
        <x:v>Device/app remains responsive. The Web App can load and navigate the long transcript.</x:v>
      </x:c>
      <x:c r="M32" s="107" t="str">
        <x:v>Audio upload and processing complete without chunk loss, duplicate jobs, or timeout beyond the documented policy.</x:v>
      </x:c>
      <x:c r="N32" s="107" t="str">
        <x:v>Validate duration, all interval markers, file integrity, transcript continuity, processing time, and PDF pagination.</x:v>
      </x:c>
      <x:c r="O32" s="107" t="str">
        <x:v>All content is complete and usable with no resource-related failure.</x:v>
      </x:c>
      <x:c r="P32" s="107" t="str"/>
      <x:c r="Q32" s="107" t="str">
        <x:v>Not Run</x:v>
      </x:c>
      <x:c r="R32" s="107" t="str"/>
      <x:c r="S32" s="108" t="str"/>
      <x:c r="T32" s="92"/>
      <x:c r="U32" s="92"/>
      <x:c r="V32" s="92"/>
      <x:c r="W32" s="92"/>
      <x:c r="X32" s="92"/>
      <x:c r="Y32" s="92"/>
      <x:c r="Z32" s="92"/>
    </x:row>
    <x:row r="33" ht="118" customHeight="1">
      <x:c r="A33" s="106" t="str">
        <x:v>SATE-LONG-003</x:v>
      </x:c>
      <x:c r="B33" s="107" t="str">
        <x:v>Long Session and Performance</x:v>
      </x:c>
      <x:c r="C33" s="107" t="str">
        <x:v>Maximum supported recording duration</x:v>
      </x:c>
      <x:c r="D33" s="107" t="str">
        <x:v>SATE Recorder; Local Storage; Backend</x:v>
      </x:c>
      <x:c r="E33" s="107" t="str">
        <x:v>Boundary / Performance</x:v>
      </x:c>
      <x:c r="F33" s="107" t="str">
        <x:v>P0</x:v>
      </x:c>
      <x:c r="G33" s="107" t="str">
        <x:v>RQ-07,RQ-20</x:v>
      </x:c>
      <x:c r="H33" s="107" t="str">
        <x:v>Verify the documented maximum duration and user warning behavior.</x:v>
      </x:c>
      <x:c r="I33" s="107" t="str">
        <x:v>Maximum duration is confirmed by product/engineering.</x:v>
      </x:c>
      <x:c r="J33" s="107" t="str">
        <x:v>Session at the maximum duration and, if safe, an attempt to exceed it.</x:v>
      </x:c>
      <x:c r="K33" s="107" t="str">
        <x:v>1. Record until the maximum duration.
2. Observe warning or automatic stop behavior.
3. Attempt to continue if allowed.
4. Sync and review.</x:v>
      </x:c>
      <x:c r="L33" s="107" t="str">
        <x:v>The recorder warns before the limit and safely stops or blocks additional recording according to requirement.</x:v>
      </x:c>
      <x:c r="M33" s="107" t="str">
        <x:v>One valid session is created with no truncated container or invalid duration metadata.</x:v>
      </x:c>
      <x:c r="N33" s="107" t="str">
        <x:v>Check final duration, end marker, file readability, status, and absence of a second unintended session.</x:v>
      </x:c>
      <x:c r="O33" s="107" t="str">
        <x:v>Maximum-duration behavior is predictable, safe, and fully documented.</x:v>
      </x:c>
      <x:c r="P33" s="107" t="str"/>
      <x:c r="Q33" s="107" t="str">
        <x:v>Not Run</x:v>
      </x:c>
      <x:c r="R33" s="107" t="str"/>
      <x:c r="S33" s="108" t="str"/>
      <x:c r="T33" s="92"/>
      <x:c r="U33" s="92"/>
      <x:c r="V33" s="92"/>
      <x:c r="W33" s="92"/>
      <x:c r="X33" s="92"/>
      <x:c r="Y33" s="92"/>
      <x:c r="Z33" s="92"/>
    </x:row>
    <x:row r="34" ht="118" customHeight="1">
      <x:c r="A34" s="106" t="str">
        <x:v>SATE-LONG-004</x:v>
      </x:c>
      <x:c r="B34" s="107" t="str">
        <x:v>Long Session and Performance</x:v>
      </x:c>
      <x:c r="C34" s="107" t="str">
        <x:v>Long-session upload interrupted and resumed</x:v>
      </x:c>
      <x:c r="D34" s="107" t="str">
        <x:v>SATE Recorder or Mobile App; Upload Queue; Supabase Storage</x:v>
      </x:c>
      <x:c r="E34" s="107" t="str">
        <x:v>Recovery / Performance</x:v>
      </x:c>
      <x:c r="F34" s="107" t="str">
        <x:v>P0</x:v>
      </x:c>
      <x:c r="G34" s="107" t="str">
        <x:v>RQ-09,RQ-10,RQ-20</x:v>
      </x:c>
      <x:c r="H34" s="107" t="str">
        <x:v>Verify recovery for a large upload.</x:v>
      </x:c>
      <x:c r="I34" s="107" t="str">
        <x:v>A 45-60 minute session is saved and upload begins.</x:v>
      </x:c>
      <x:c r="J34" s="107" t="str">
        <x:v>45-60 minute recording; interrupt transfer around 50%.</x:v>
      </x:c>
      <x:c r="K34" s="107" t="str">
        <x:v>1. Start upload.
2. Disable connectivity mid-transfer.
3. Keep offline for several minutes.
4. Restore connectivity.
5. Wait for completion and processing.</x:v>
      </x:c>
      <x:c r="L34" s="107" t="str">
        <x:v>Progress recovers or restarts according to the documented strategy. The user does not need to re-record.</x:v>
      </x:c>
      <x:c r="M34" s="107" t="str">
        <x:v>One final complete object is committed; partial chunks/objects are reconciled; processing begins only on a valid complete file.</x:v>
      </x:c>
      <x:c r="N34" s="107" t="str">
        <x:v>Compare local/server size, checksum if available, duration, beginning/end markers, object count, and processing count.</x:v>
      </x:c>
      <x:c r="O34" s="107" t="str">
        <x:v>The large file completes without corruption, duplication, or permanent Uploading state.</x:v>
      </x:c>
      <x:c r="P34" s="107" t="str"/>
      <x:c r="Q34" s="107" t="str">
        <x:v>Not Run</x:v>
      </x:c>
      <x:c r="R34" s="107" t="str"/>
      <x:c r="S34" s="108" t="str"/>
      <x:c r="T34" s="92"/>
      <x:c r="U34" s="92"/>
      <x:c r="V34" s="92"/>
      <x:c r="W34" s="92"/>
      <x:c r="X34" s="92"/>
      <x:c r="Y34" s="92"/>
      <x:c r="Z34" s="92"/>
    </x:row>
    <x:row r="35" ht="118" customHeight="1">
      <x:c r="A35" s="106" t="str">
        <x:v>SATE-LONG-005</x:v>
      </x:c>
      <x:c r="B35" s="107" t="str">
        <x:v>Long Session and Performance</x:v>
      </x:c>
      <x:c r="C35" s="107" t="str">
        <x:v>Phone locks or mobile app remains in background during a long recording</x:v>
      </x:c>
      <x:c r="D35" s="107" t="str">
        <x:v>SATE Mobile App; BLE Device; OS Background Services</x:v>
      </x:c>
      <x:c r="E35" s="107" t="str">
        <x:v>Mobile Lifecycle / Performance</x:v>
      </x:c>
      <x:c r="F35" s="107" t="str">
        <x:v>P0</x:v>
      </x:c>
      <x:c r="G35" s="107" t="str">
        <x:v>RQ-10,RQ-19</x:v>
      </x:c>
      <x:c r="H35" s="107" t="str">
        <x:v>Verify supported long-running behavior under normal phone use.</x:v>
      </x:c>
      <x:c r="I35" s="107" t="str">
        <x:v>Mobile-app/BLЕ recording path is active; OS permissions are granted.</x:v>
      </x:c>
      <x:c r="J35" s="107" t="str">
        <x:v>45-minute session; lock phone for at least 20 minutes.</x:v>
      </x:c>
      <x:c r="K35" s="107" t="str">
        <x:v>1. Start recording through the mobile/BLE workflow.
2. Lock phone or background app.
3. Continue the session.
4. Unlock/open app.
5. Stop, sync, and review.</x:v>
      </x:c>
      <x:c r="L35" s="107" t="str">
        <x:v>Recording/status tracking continues according to the supported design. The app clearly reports any disconnect and recovery.</x:v>
      </x:c>
      <x:c r="M35" s="107" t="str">
        <x:v>One session is created with no gaps attributable to app suspension, or the session is explicitly marked interrupted.</x:v>
      </x:c>
      <x:c r="N35" s="107" t="str">
        <x:v>Check BLE logs, audio markers before/during/after lock, duration, session count, and upload result.</x:v>
      </x:c>
      <x:c r="O35" s="107" t="str">
        <x:v>No silent gap, overwrite, crash, or false Completed state occurs.</x:v>
      </x:c>
      <x:c r="P35" s="107" t="str"/>
      <x:c r="Q35" s="107" t="str">
        <x:v>Not Run</x:v>
      </x:c>
      <x:c r="R35" s="107" t="str"/>
      <x:c r="S35" s="108" t="str"/>
      <x:c r="T35" s="92"/>
      <x:c r="U35" s="92"/>
      <x:c r="V35" s="92"/>
      <x:c r="W35" s="92"/>
      <x:c r="X35" s="92"/>
      <x:c r="Y35" s="92"/>
      <x:c r="Z35" s="92"/>
    </x:row>
    <x:row r="36" ht="118" customHeight="1">
      <x:c r="A36" s="106" t="str">
        <x:v>SATE-LONG-006</x:v>
      </x:c>
      <x:c r="B36" s="107" t="str">
        <x:v>Long Session and Performance</x:v>
      </x:c>
      <x:c r="C36" s="107" t="str">
        <x:v>Battery, temperature, memory, storage, and processing-time observation</x:v>
      </x:c>
      <x:c r="D36" s="107" t="str">
        <x:v>SATE Recorder; Mobile App; Backend Monitoring</x:v>
      </x:c>
      <x:c r="E36" s="107" t="str">
        <x:v>Performance / Reliability</x:v>
      </x:c>
      <x:c r="F36" s="107" t="str">
        <x:v>P1</x:v>
      </x:c>
      <x:c r="G36" s="107" t="str">
        <x:v>RQ-20</x:v>
      </x:c>
      <x:c r="H36" s="107" t="str">
        <x:v>Establish operational resource use for extended sessions.</x:v>
      </x:c>
      <x:c r="I36" s="107" t="str">
        <x:v>Monitoring tools/logs are available; devices begin at known battery levels.</x:v>
      </x:c>
      <x:c r="J36" s="107" t="str">
        <x:v>45-60 minute recording plus upload and processing.</x:v>
      </x:c>
      <x:c r="K36" s="107" t="str">
        <x:v>1. Record baseline battery, free storage, memory, and temperature.
2. Run a long session.
3. Record metrics during capture, upload, and processing.
4. Note crashes, throttling, or UI lag.</x:v>
      </x:c>
      <x:c r="L36" s="107" t="str">
        <x:v>Device/app remains usable and provides warnings before resource exhaustion.</x:v>
      </x:c>
      <x:c r="M36" s="107" t="str">
        <x:v>Backend processing remains within the documented SLA and does not generate runaway retries/jobs.</x:v>
      </x:c>
      <x:c r="N36" s="107" t="str">
        <x:v>Record battery drain, temperature, memory, storage growth, upload time, processing time, and error logs.</x:v>
      </x:c>
      <x:c r="O36" s="107" t="str">
        <x:v>Measured resource use stays within approved limits; no crash, unsafe heating, or unbounded job execution occurs.</x:v>
      </x:c>
      <x:c r="P36" s="107" t="str"/>
      <x:c r="Q36" s="107" t="str">
        <x:v>Not Run</x:v>
      </x:c>
      <x:c r="R36" s="107" t="str"/>
      <x:c r="S36" s="108" t="str"/>
      <x:c r="T36" s="92"/>
      <x:c r="U36" s="92"/>
      <x:c r="V36" s="92"/>
      <x:c r="W36" s="92"/>
      <x:c r="X36" s="92"/>
      <x:c r="Y36" s="92"/>
      <x:c r="Z36" s="92"/>
    </x:row>
    <x:row r="37" ht="118" customHeight="1">
      <x:c r="A37" s="106" t="str">
        <x:v>SATE-BLE-001</x:v>
      </x:c>
      <x:c r="B37" s="107" t="str">
        <x:v>BLE and Device Connectivity</x:v>
      </x:c>
      <x:c r="C37" s="107" t="str">
        <x:v>First-time BLE pairing and device assignment</x:v>
      </x:c>
      <x:c r="D37" s="107" t="str">
        <x:v>SATE Mobile App; BLE Accessory; User Account</x:v>
      </x:c>
      <x:c r="E37" s="107" t="str">
        <x:v>Functional / Compatibility</x:v>
      </x:c>
      <x:c r="F37" s="107" t="str">
        <x:v>P0</x:v>
      </x:c>
      <x:c r="G37" s="107" t="str">
        <x:v>RQ-17,RQ-19</x:v>
      </x:c>
      <x:c r="H37" s="107" t="str">
        <x:v>Verify secure and understandable initial pairing.</x:v>
      </x:c>
      <x:c r="I37" s="107" t="str">
        <x:v>Bluetooth is enabled; app permissions are granted; accessory is unpaired and discoverable.</x:v>
      </x:c>
      <x:c r="J37" s="107" t="str">
        <x:v>One target BLE device and one test user.</x:v>
      </x:c>
      <x:c r="K37" s="107" t="str">
        <x:v>1. Open device setup.
2. Scan for devices.
3. Select the target device.
4. Complete pairing.
5. Confirm device identity and run a short recording/sync.</x:v>
      </x:c>
      <x:c r="L37" s="107" t="str">
        <x:v>Only relevant devices are shown with distinguishable identifiers. Successful pairing and assigned user/device are clearly displayed.</x:v>
      </x:c>
      <x:c r="M37" s="107" t="str">
        <x:v>Device-user association is stored once and used for the resulting session.</x:v>
      </x:c>
      <x:c r="N37" s="107" t="str">
        <x:v>Compare displayed identifier, physical device identifier, account assignment, and session metadata.</x:v>
      </x:c>
      <x:c r="O37" s="107" t="str">
        <x:v>Correct device pairs to the correct account and can complete a session without manual database correction.</x:v>
      </x:c>
      <x:c r="P37" s="107" t="str"/>
      <x:c r="Q37" s="107" t="str">
        <x:v>Not Run</x:v>
      </x:c>
      <x:c r="R37" s="107" t="str"/>
      <x:c r="S37" s="108" t="str"/>
      <x:c r="T37" s="92"/>
      <x:c r="U37" s="92"/>
      <x:c r="V37" s="92"/>
      <x:c r="W37" s="92"/>
      <x:c r="X37" s="92"/>
      <x:c r="Y37" s="92"/>
      <x:c r="Z37" s="92"/>
    </x:row>
    <x:row r="38" ht="118" customHeight="1">
      <x:c r="A38" s="106" t="str">
        <x:v>SATE-BLE-002</x:v>
      </x:c>
      <x:c r="B38" s="107" t="str">
        <x:v>BLE and Device Connectivity</x:v>
      </x:c>
      <x:c r="C38" s="107" t="str">
        <x:v>Automatic reconnect after mobile app restart</x:v>
      </x:c>
      <x:c r="D38" s="107" t="str">
        <x:v>SATE Mobile App; BLE Accessory</x:v>
      </x:c>
      <x:c r="E38" s="107" t="str">
        <x:v>Recovery</x:v>
      </x:c>
      <x:c r="F38" s="107" t="str">
        <x:v>P1</x:v>
      </x:c>
      <x:c r="G38" s="107" t="str">
        <x:v>RQ-19</x:v>
      </x:c>
      <x:c r="H38" s="107" t="str">
        <x:v>Verify reconnection without unnecessary re-pairing.</x:v>
      </x:c>
      <x:c r="I38" s="107" t="str">
        <x:v>Accessory was previously paired and is powered on nearby.</x:v>
      </x:c>
      <x:c r="J38" s="107" t="str">
        <x:v>Previously paired device.</x:v>
      </x:c>
      <x:c r="K38" s="107" t="str">
        <x:v>1. Connect to the BLE device.
2. Close and restart the app.
3. Observe reconnection.
4. Run a short session.</x:v>
      </x:c>
      <x:c r="L38" s="107" t="str">
        <x:v>The app reconnects automatically or provides a clear one-tap reconnect. It does not pair to a different nearby device.</x:v>
      </x:c>
      <x:c r="M38" s="107" t="str">
        <x:v>Existing device association remains unchanged.</x:v>
      </x:c>
      <x:c r="N38" s="107" t="str">
        <x:v>Verify device ID before/after restart and session metadata.</x:v>
      </x:c>
      <x:c r="O38" s="107" t="str">
        <x:v>Reconnection is reliable and preserves device identity.</x:v>
      </x:c>
      <x:c r="P38" s="107" t="str"/>
      <x:c r="Q38" s="107" t="str">
        <x:v>Not Run</x:v>
      </x:c>
      <x:c r="R38" s="107" t="str"/>
      <x:c r="S38" s="108" t="str"/>
      <x:c r="T38" s="92"/>
      <x:c r="U38" s="92"/>
      <x:c r="V38" s="92"/>
      <x:c r="W38" s="92"/>
      <x:c r="X38" s="92"/>
      <x:c r="Y38" s="92"/>
      <x:c r="Z38" s="92"/>
    </x:row>
    <x:row r="39" ht="118" customHeight="1">
      <x:c r="A39" s="106" t="str">
        <x:v>SATE-BLE-003</x:v>
      </x:c>
      <x:c r="B39" s="107" t="str">
        <x:v>BLE and Device Connectivity</x:v>
      </x:c>
      <x:c r="C39" s="107" t="str">
        <x:v>User selects the wrong BLE device</x:v>
      </x:c>
      <x:c r="D39" s="107" t="str">
        <x:v>SATE Mobile App; Multiple BLE Accessories</x:v>
      </x:c>
      <x:c r="E39" s="107" t="str">
        <x:v>Negative / Usability</x:v>
      </x:c>
      <x:c r="F39" s="107" t="str">
        <x:v>P1</x:v>
      </x:c>
      <x:c r="G39" s="107" t="str">
        <x:v>RQ-17,RQ-19</x:v>
      </x:c>
      <x:c r="H39" s="107" t="str">
        <x:v>Verify device identification and correction when multiple devices are present.</x:v>
      </x:c>
      <x:c r="I39" s="107" t="str">
        <x:v>Two discoverable devices are nearby and clearly labeled for testing.</x:v>
      </x:c>
      <x:c r="J39" s="107" t="str">
        <x:v>BLE Device A assigned to User A; BLE Device B assigned to User B.</x:v>
      </x:c>
      <x:c r="K39" s="107" t="str">
        <x:v>1. Scan for devices.
2. Intentionally select the wrong device.
3. Observe warnings/identity display.
4. Cancel or correct the selection.
5. Pair the correct device.</x:v>
      </x:c>
      <x:c r="L39" s="107" t="str">
        <x:v>The app shows enough identifying information to avoid confusion and allows correction. If assignment rules prohibit the wrong device, pairing is blocked.</x:v>
      </x:c>
      <x:c r="M39" s="107" t="str">
        <x:v>No session or permanent assignment is created for the rejected device.</x:v>
      </x:c>
      <x:c r="N39" s="107" t="str">
        <x:v>Check device-user mapping and absence of unintended records.</x:v>
      </x:c>
      <x:c r="O39" s="107" t="str">
        <x:v>The wrong device cannot be silently associated with the user.</x:v>
      </x:c>
      <x:c r="P39" s="107" t="str"/>
      <x:c r="Q39" s="107" t="str">
        <x:v>Not Run</x:v>
      </x:c>
      <x:c r="R39" s="107" t="str"/>
      <x:c r="S39" s="108" t="str"/>
      <x:c r="T39" s="92"/>
      <x:c r="U39" s="92"/>
      <x:c r="V39" s="92"/>
      <x:c r="W39" s="92"/>
      <x:c r="X39" s="92"/>
      <x:c r="Y39" s="92"/>
      <x:c r="Z39" s="92"/>
    </x:row>
    <x:row r="40" ht="118" customHeight="1">
      <x:c r="A40" s="106" t="str">
        <x:v>SATE-BLE-004</x:v>
      </x:c>
      <x:c r="B40" s="107" t="str">
        <x:v>BLE and Device Connectivity</x:v>
      </x:c>
      <x:c r="C40" s="107" t="str">
        <x:v>Multiple nearby BLE devices during discovery and reconnect</x:v>
      </x:c>
      <x:c r="D40" s="107" t="str">
        <x:v>SATE Mobile App; Multiple BLE Accessories</x:v>
      </x:c>
      <x:c r="E40" s="107" t="str">
        <x:v>Compatibility / Reliability</x:v>
      </x:c>
      <x:c r="F40" s="107" t="str">
        <x:v>P1</x:v>
      </x:c>
      <x:c r="G40" s="107" t="str">
        <x:v>RQ-19</x:v>
      </x:c>
      <x:c r="H40" s="107" t="str">
        <x:v>Verify stable discovery, selection, and reconnect in a crowded environment.</x:v>
      </x:c>
      <x:c r="I40" s="107" t="str">
        <x:v>At least three discoverable BLE devices are nearby.</x:v>
      </x:c>
      <x:c r="J40" s="107" t="str">
        <x:v>Multiple accessories with unique identifiers.</x:v>
      </x:c>
      <x:c r="K40" s="107" t="str">
        <x:v>1. Scan repeatedly.
2. Move devices in/out of range.
3. Select the intended device.
4. Restart app and verify reconnect.</x:v>
      </x:c>
      <x:c r="L40" s="107" t="str">
        <x:v>Device list remains usable, identifiers do not swap, and the intended device reconnects.</x:v>
      </x:c>
      <x:c r="M40" s="107" t="str">
        <x:v>Correct device ID remains associated with the account and resulting sessions.</x:v>
      </x:c>
      <x:c r="N40" s="107" t="str">
        <x:v>Compare scan list, selected ID, connected ID, and session metadata.</x:v>
      </x:c>
      <x:c r="O40" s="107" t="str">
        <x:v>No unintended device switch or duplicate device record occurs.</x:v>
      </x:c>
      <x:c r="P40" s="107" t="str"/>
      <x:c r="Q40" s="107" t="str">
        <x:v>Not Run</x:v>
      </x:c>
      <x:c r="R40" s="107" t="str"/>
      <x:c r="S40" s="108" t="str"/>
      <x:c r="T40" s="92"/>
      <x:c r="U40" s="92"/>
      <x:c r="V40" s="92"/>
      <x:c r="W40" s="92"/>
      <x:c r="X40" s="92"/>
      <x:c r="Y40" s="92"/>
      <x:c r="Z40" s="92"/>
    </x:row>
    <x:row r="41" ht="118" customHeight="1">
      <x:c r="A41" s="106" t="str">
        <x:v>SATE-BLE-005</x:v>
      </x:c>
      <x:c r="B41" s="107" t="str">
        <x:v>BLE and Device Connectivity</x:v>
      </x:c>
      <x:c r="C41" s="107" t="str">
        <x:v>BLE device is already connected to another phone</x:v>
      </x:c>
      <x:c r="D41" s="107" t="str">
        <x:v>SATE Mobile App; BLE Accessory; Second Phone</x:v>
      </x:c>
      <x:c r="E41" s="107" t="str">
        <x:v>Negative / Recovery</x:v>
      </x:c>
      <x:c r="F41" s="107" t="str">
        <x:v>P1</x:v>
      </x:c>
      <x:c r="G41" s="107" t="str">
        <x:v>RQ-19</x:v>
      </x:c>
      <x:c r="H41" s="107" t="str">
        <x:v>Verify clear handling of exclusive BLE connection conflicts.</x:v>
      </x:c>
      <x:c r="I41" s="107" t="str">
        <x:v>Target device is connected to Phone A; tester uses Phone B.</x:v>
      </x:c>
      <x:c r="J41" s="107" t="str">
        <x:v>Two supported phones and one BLE accessory.</x:v>
      </x:c>
      <x:c r="K41" s="107" t="str">
        <x:v>1. Connect device to Phone A.
2. Attempt connection from Phone B.
3. Disconnect Phone A.
4. Retry from Phone B.</x:v>
      </x:c>
      <x:c r="L41" s="107" t="str">
        <x:v>Phone B receives a clear unavailable/in-use message and later connects successfully after release.</x:v>
      </x:c>
      <x:c r="M41" s="107" t="str">
        <x:v>No duplicate or conflicting device assignment/session is created.</x:v>
      </x:c>
      <x:c r="N41" s="107" t="str">
        <x:v>Verify connection logs, device mapping, and successful later session.</x:v>
      </x:c>
      <x:c r="O41" s="107" t="str">
        <x:v>Connection conflict is understandable and recoverable without reset or data corruption.</x:v>
      </x:c>
      <x:c r="P41" s="107" t="str"/>
      <x:c r="Q41" s="107" t="str">
        <x:v>Not Run</x:v>
      </x:c>
      <x:c r="R41" s="107" t="str"/>
      <x:c r="S41" s="108" t="str"/>
      <x:c r="T41" s="92"/>
      <x:c r="U41" s="92"/>
      <x:c r="V41" s="92"/>
      <x:c r="W41" s="92"/>
      <x:c r="X41" s="92"/>
      <x:c r="Y41" s="92"/>
      <x:c r="Z41" s="92"/>
    </x:row>
    <x:row r="42" ht="118" customHeight="1">
      <x:c r="A42" s="106" t="str">
        <x:v>SATE-BLE-006</x:v>
      </x:c>
      <x:c r="B42" s="107" t="str">
        <x:v>BLE and Device Connectivity</x:v>
      </x:c>
      <x:c r="C42" s="107" t="str">
        <x:v>Bluetooth disabled or permission revoked</x:v>
      </x:c>
      <x:c r="D42" s="107" t="str">
        <x:v>SATE Mobile App; OS Permissions; BLE Accessory</x:v>
      </x:c>
      <x:c r="E42" s="107" t="str">
        <x:v>Negative / Permissions</x:v>
      </x:c>
      <x:c r="F42" s="107" t="str">
        <x:v>P0</x:v>
      </x:c>
      <x:c r="G42" s="107" t="str">
        <x:v>RQ-19</x:v>
      </x:c>
      <x:c r="H42" s="107" t="str">
        <x:v>Verify actionable handling of unavailable Bluetooth access.</x:v>
      </x:c>
      <x:c r="I42" s="107" t="str">
        <x:v>App is installed; tester can disable Bluetooth and revoke permissions.</x:v>
      </x:c>
      <x:c r="J42" s="107" t="str">
        <x:v>Supported Android and iOS devices.</x:v>
      </x:c>
      <x:c r="K42" s="107" t="str">
        <x:v>1. Disable Bluetooth and open the workflow.
2. Observe message.
3. Enable Bluetooth but revoke app permission.
4. Retry.
5. Restore permission and connect.</x:v>
      </x:c>
      <x:c r="L42" s="107" t="str">
        <x:v>The app identifies the exact issue and directs the user to restore access. It must not show a false connected state.</x:v>
      </x:c>
      <x:c r="M42" s="107" t="str">
        <x:v>No session is created unless capture actually starts. Existing pending data remains intact.</x:v>
      </x:c>
      <x:c r="N42" s="107" t="str">
        <x:v>Check app state, device state, pending queue, and later successful connection.</x:v>
      </x:c>
      <x:c r="O42" s="107" t="str">
        <x:v>Bluetooth and permission failures are explicit, safe, and recoverable.</x:v>
      </x:c>
      <x:c r="P42" s="107" t="str"/>
      <x:c r="Q42" s="107" t="str">
        <x:v>Not Run</x:v>
      </x:c>
      <x:c r="R42" s="107" t="str"/>
      <x:c r="S42" s="108" t="str"/>
      <x:c r="T42" s="92"/>
      <x:c r="U42" s="92"/>
      <x:c r="V42" s="92"/>
      <x:c r="W42" s="92"/>
      <x:c r="X42" s="92"/>
      <x:c r="Y42" s="92"/>
      <x:c r="Z42" s="92"/>
    </x:row>
    <x:row r="43" ht="118" customHeight="1">
      <x:c r="A43" s="106" t="str">
        <x:v>SATE-BLE-007</x:v>
      </x:c>
      <x:c r="B43" s="107" t="str">
        <x:v>BLE and Device Connectivity</x:v>
      </x:c>
      <x:c r="C43" s="107" t="str">
        <x:v>BLE disconnects during recording and later reconnects</x:v>
      </x:c>
      <x:c r="D43" s="107" t="str">
        <x:v>SATE Mobile App; BLE Accessory; Local Storage</x:v>
      </x:c>
      <x:c r="E43" s="107" t="str">
        <x:v>Recovery / Data Integrity</x:v>
      </x:c>
      <x:c r="F43" s="107" t="str">
        <x:v>P0</x:v>
      </x:c>
      <x:c r="G43" s="107" t="str">
        <x:v>RQ-04,RQ-06,RQ-19</x:v>
      </x:c>
      <x:c r="H43" s="107" t="str">
        <x:v>Verify recording continuity or explicit interruption when BLE is lost.</x:v>
      </x:c>
      <x:c r="I43" s="107" t="str">
        <x:v>BLE recording workflow is active.</x:v>
      </x:c>
      <x:c r="J43" s="107" t="str">
        <x:v>10-minute session; move accessory out of range for one minute.</x:v>
      </x:c>
      <x:c r="K43" s="107" t="str">
        <x:v>1. Start recording.
2. Break BLE connection.
3. Continue waiting for one minute.
4. Return device to range.
5. Observe reconnect.
6. Stop and sync.</x:v>
      </x:c>
      <x:c r="L43" s="107" t="str">
        <x:v>The app shows disconnect/reconnect status. It does not silently display continuous Recording if capture stopped.</x:v>
      </x:c>
      <x:c r="M43" s="107" t="str">
        <x:v>Session is either continuous and valid or explicitly marked with an interruption. It is never falsely Completed as gap-free.</x:v>
      </x:c>
      <x:c r="N43" s="107" t="str">
        <x:v>Inspect audio around disconnect, BLE event log, duration, session count, and transcript continuity.</x:v>
      </x:c>
      <x:c r="O43" s="107" t="str">
        <x:v>Connection loss is detected and the final session accurately represents whether data were continuous or interrupted.</x:v>
      </x:c>
      <x:c r="P43" s="107" t="str"/>
      <x:c r="Q43" s="107" t="str">
        <x:v>Not Run</x:v>
      </x:c>
      <x:c r="R43" s="107" t="str"/>
      <x:c r="S43" s="108" t="str"/>
      <x:c r="T43" s="92"/>
      <x:c r="U43" s="92"/>
      <x:c r="V43" s="92"/>
      <x:c r="W43" s="92"/>
      <x:c r="X43" s="92"/>
      <x:c r="Y43" s="92"/>
      <x:c r="Z43" s="92"/>
    </x:row>
    <x:row r="44" ht="118" customHeight="1">
      <x:c r="A44" s="106" t="str">
        <x:v>SATE-BLE-008</x:v>
      </x:c>
      <x:c r="B44" s="107" t="str">
        <x:v>BLE and Device Connectivity</x:v>
      </x:c>
      <x:c r="C44" s="107" t="str">
        <x:v>BLE accessory battery is depleted during recording</x:v>
      </x:c>
      <x:c r="D44" s="107" t="str">
        <x:v>SATE Mobile App; BLE Accessory</x:v>
      </x:c>
      <x:c r="E44" s="107" t="str">
        <x:v>Recovery / Hardware</x:v>
      </x:c>
      <x:c r="F44" s="107" t="str">
        <x:v>P0</x:v>
      </x:c>
      <x:c r="G44" s="107" t="str">
        <x:v>RQ-06,RQ-20</x:v>
      </x:c>
      <x:c r="H44" s="107" t="str">
        <x:v>Verify low-battery warning and safe session handling.</x:v>
      </x:c>
      <x:c r="I44" s="107" t="str">
        <x:v>Accessory begins near low-battery threshold.</x:v>
      </x:c>
      <x:c r="J44" s="107" t="str">
        <x:v>Record until device powers down.</x:v>
      </x:c>
      <x:c r="K44" s="107" t="str">
        <x:v>1. Start recording.
2. Observe battery indicator/warning.
3. Continue until disconnect/power loss.
4. Recharge and reconnect.
5. Inspect and sync the session.</x:v>
      </x:c>
      <x:c r="L44" s="107" t="str">
        <x:v>Low-battery warning appears when supported. Disconnect is explicit and recovery guidance is shown.</x:v>
      </x:c>
      <x:c r="M44" s="107" t="str">
        <x:v>Captured data are preserved as valid partial/continuous data according to design; no false Completed state.</x:v>
      </x:c>
      <x:c r="N44" s="107" t="str">
        <x:v>Check audio/event boundary, device battery log, duration, session status, and duplicate count.</x:v>
      </x:c>
      <x:c r="O44" s="107" t="str">
        <x:v>Battery depletion does not silently lose or misrepresent the session.</x:v>
      </x:c>
      <x:c r="P44" s="107" t="str"/>
      <x:c r="Q44" s="107" t="str">
        <x:v>Not Run</x:v>
      </x:c>
      <x:c r="R44" s="107" t="str"/>
      <x:c r="S44" s="108" t="str"/>
      <x:c r="T44" s="92"/>
      <x:c r="U44" s="92"/>
      <x:c r="V44" s="92"/>
      <x:c r="W44" s="92"/>
      <x:c r="X44" s="92"/>
      <x:c r="Y44" s="92"/>
      <x:c r="Z44" s="92"/>
    </x:row>
    <x:row r="45" ht="118" customHeight="1">
      <x:c r="A45" s="106" t="str">
        <x:v>SATE-APP-001</x:v>
      </x:c>
      <x:c r="B45" s="107" t="str">
        <x:v>Mobile App Lifecycle and Authentication</x:v>
      </x:c>
      <x:c r="C45" s="107" t="str">
        <x:v>App moves to background during an active recording</x:v>
      </x:c>
      <x:c r="D45" s="107" t="str">
        <x:v>SATE Mobile App; BLE Accessory; OS Background Services</x:v>
      </x:c>
      <x:c r="E45" s="107" t="str">
        <x:v>Mobile Lifecycle</x:v>
      </x:c>
      <x:c r="F45" s="107" t="str">
        <x:v>P0</x:v>
      </x:c>
      <x:c r="G45" s="107" t="str">
        <x:v>RQ-10,RQ-19</x:v>
      </x:c>
      <x:c r="H45" s="107" t="str">
        <x:v>Verify supported background behavior during capture.</x:v>
      </x:c>
      <x:c r="I45" s="107" t="str">
        <x:v>Recording is active and background permissions are configured.</x:v>
      </x:c>
      <x:c r="J45" s="107" t="str">
        <x:v>5-minute BLE/mobile session.</x:v>
      </x:c>
      <x:c r="K45" s="107" t="str">
        <x:v>1. Start recording.
2. Send app to background for two minutes.
3. Use another app.
4. Return to SATE.
5. Stop and sync.</x:v>
      </x:c>
      <x:c r="L45" s="107" t="str">
        <x:v>Recording/status remains correct or the app clearly reports interruption. UI state is restored accurately.</x:v>
      </x:c>
      <x:c r="M45" s="107" t="str">
        <x:v>One session with correct capture status is stored.</x:v>
      </x:c>
      <x:c r="N45" s="107" t="str">
        <x:v>Check audio continuity, app lifecycle logs, duration, and session count.</x:v>
      </x:c>
      <x:c r="O45" s="107" t="str">
        <x:v>No silent interruption, duplicate recording, or false status occurs.</x:v>
      </x:c>
      <x:c r="P45" s="107" t="str"/>
      <x:c r="Q45" s="107" t="str">
        <x:v>Not Run</x:v>
      </x:c>
      <x:c r="R45" s="107" t="str"/>
      <x:c r="S45" s="108" t="str"/>
      <x:c r="T45" s="92"/>
      <x:c r="U45" s="92"/>
      <x:c r="V45" s="92"/>
      <x:c r="W45" s="92"/>
      <x:c r="X45" s="92"/>
      <x:c r="Y45" s="92"/>
      <x:c r="Z45" s="92"/>
    </x:row>
    <x:row r="46" ht="118" customHeight="1">
      <x:c r="A46" s="106" t="str">
        <x:v>SATE-APP-002</x:v>
      </x:c>
      <x:c r="B46" s="107" t="str">
        <x:v>Mobile App Lifecycle and Authentication</x:v>
      </x:c>
      <x:c r="C46" s="107" t="str">
        <x:v>App is force-closed during recording</x:v>
      </x:c>
      <x:c r="D46" s="107" t="str">
        <x:v>SATE Mobile App; BLE Accessory; Local Storage</x:v>
      </x:c>
      <x:c r="E46" s="107" t="str">
        <x:v>Recovery / Fault Injection</x:v>
      </x:c>
      <x:c r="F46" s="107" t="str">
        <x:v>P0</x:v>
      </x:c>
      <x:c r="G46" s="107" t="str">
        <x:v>RQ-04,RQ-06</x:v>
      </x:c>
      <x:c r="H46" s="107" t="str">
        <x:v>Verify crash recovery and accurate interrupted-session handling.</x:v>
      </x:c>
      <x:c r="I46" s="107" t="str">
        <x:v>Recording is active.</x:v>
      </x:c>
      <x:c r="J46" s="107" t="str">
        <x:v>5-minute session; force-close after two minutes.</x:v>
      </x:c>
      <x:c r="K46" s="107" t="str">
        <x:v>1. Start recording.
2. Force-close the app.
3. Reopen the app.
4. Inspect recovered session/status.
5. Sync any recoverable data.</x:v>
      </x:c>
      <x:c r="L46" s="107" t="str">
        <x:v>The app reports interruption/recovery and does not pretend the session completed normally.</x:v>
      </x:c>
      <x:c r="M46" s="107" t="str">
        <x:v>One valid partial/recovered session or one traceable failure exists; no duplicate.</x:v>
      </x:c>
      <x:c r="N46" s="107" t="str">
        <x:v>Check local files, audio duration, session ID, error log, and backend count.</x:v>
      </x:c>
      <x:c r="O46" s="107" t="str">
        <x:v>Captured data are handled according to the documented recovery rule with no silent loss or false completion.</x:v>
      </x:c>
      <x:c r="P46" s="107" t="str"/>
      <x:c r="Q46" s="107" t="str">
        <x:v>Not Run</x:v>
      </x:c>
      <x:c r="R46" s="107" t="str"/>
      <x:c r="S46" s="108" t="str"/>
      <x:c r="T46" s="92"/>
      <x:c r="U46" s="92"/>
      <x:c r="V46" s="92"/>
      <x:c r="W46" s="92"/>
      <x:c r="X46" s="92"/>
      <x:c r="Y46" s="92"/>
      <x:c r="Z46" s="92"/>
    </x:row>
    <x:row r="47" ht="118" customHeight="1">
      <x:c r="A47" s="106" t="str">
        <x:v>SATE-APP-003</x:v>
      </x:c>
      <x:c r="B47" s="107" t="str">
        <x:v>Mobile App Lifecycle and Authentication</x:v>
      </x:c>
      <x:c r="C47" s="107" t="str">
        <x:v>App is force-closed during upload</x:v>
      </x:c>
      <x:c r="D47" s="107" t="str">
        <x:v>SATE Mobile App; Upload Queue; Supabase</x:v>
      </x:c>
      <x:c r="E47" s="107" t="str">
        <x:v>Recovery</x:v>
      </x:c>
      <x:c r="F47" s="107" t="str">
        <x:v>P0</x:v>
      </x:c>
      <x:c r="G47" s="107" t="str">
        <x:v>RQ-08,RQ-09,RQ-10</x:v>
      </x:c>
      <x:c r="H47" s="107" t="str">
        <x:v>Verify pending upload persistence after process termination.</x:v>
      </x:c>
      <x:c r="I47" s="107" t="str">
        <x:v>Session upload is in progress.</x:v>
      </x:c>
      <x:c r="J47" s="107" t="str">
        <x:v>10-minute session.</x:v>
      </x:c>
      <x:c r="K47" s="107" t="str">
        <x:v>1. Start upload.
2. Force-close the app mid-transfer.
3. Reopen the app.
4. Observe queue recovery.
5. Wait for completion.</x:v>
      </x:c>
      <x:c r="L47" s="107" t="str">
        <x:v>Pending session reappears and resumes/retries. It does not remain permanently Uploading.</x:v>
      </x:c>
      <x:c r="M47" s="107" t="str">
        <x:v>One final session/object/result exists; incomplete transfer is reconciled.</x:v>
      </x:c>
      <x:c r="N47" s="107" t="str">
        <x:v>Check queue persistence, file completeness, session/object/job counts, and final status.</x:v>
      </x:c>
      <x:c r="O47" s="107" t="str">
        <x:v>Upload recovers without duplication, corruption, or user re-recording.</x:v>
      </x:c>
      <x:c r="P47" s="107" t="str"/>
      <x:c r="Q47" s="107" t="str">
        <x:v>Not Run</x:v>
      </x:c>
      <x:c r="R47" s="107" t="str"/>
      <x:c r="S47" s="108" t="str"/>
      <x:c r="T47" s="92"/>
      <x:c r="U47" s="92"/>
      <x:c r="V47" s="92"/>
      <x:c r="W47" s="92"/>
      <x:c r="X47" s="92"/>
      <x:c r="Y47" s="92"/>
      <x:c r="Z47" s="92"/>
    </x:row>
    <x:row r="48" ht="118" customHeight="1">
      <x:c r="A48" s="106" t="str">
        <x:v>SATE-APP-004</x:v>
      </x:c>
      <x:c r="B48" s="107" t="str">
        <x:v>Mobile App Lifecycle and Authentication</x:v>
      </x:c>
      <x:c r="C48" s="107" t="str">
        <x:v>Phone restarts during upload</x:v>
      </x:c>
      <x:c r="D48" s="107" t="str">
        <x:v>SATE Mobile App; OS; Upload Queue</x:v>
      </x:c>
      <x:c r="E48" s="107" t="str">
        <x:v>Recovery</x:v>
      </x:c>
      <x:c r="F48" s="107" t="str">
        <x:v>P0</x:v>
      </x:c>
      <x:c r="G48" s="107" t="str">
        <x:v>RQ-08,RQ-10</x:v>
      </x:c>
      <x:c r="H48" s="107" t="str">
        <x:v>Verify durable queue state across full phone reboot.</x:v>
      </x:c>
      <x:c r="I48" s="107" t="str">
        <x:v>Upload is active; phone can be restarted.</x:v>
      </x:c>
      <x:c r="J48" s="107" t="str">
        <x:v>10-minute session.</x:v>
      </x:c>
      <x:c r="K48" s="107" t="str">
        <x:v>1. Start upload.
2. Restart the phone.
3. Unlock and reopen SATE.
4. Restore network if needed.
5. Observe completion.</x:v>
      </x:c>
      <x:c r="L48" s="107" t="str">
        <x:v>The pending session is restored and clearly shown.</x:v>
      </x:c>
      <x:c r="M48" s="107" t="str">
        <x:v>Queue/session identity persists; one final upload and result are created.</x:v>
      </x:c>
      <x:c r="N48" s="107" t="str">
        <x:v>Compare session ID and queue state before/after reboot; validate file and final record counts.</x:v>
      </x:c>
      <x:c r="O48" s="107" t="str">
        <x:v>Phone reboot does not lose, duplicate, or mis-associate the session.</x:v>
      </x:c>
      <x:c r="P48" s="107" t="str"/>
      <x:c r="Q48" s="107" t="str">
        <x:v>Not Run</x:v>
      </x:c>
      <x:c r="R48" s="107" t="str"/>
      <x:c r="S48" s="108" t="str"/>
      <x:c r="T48" s="92"/>
      <x:c r="U48" s="92"/>
      <x:c r="V48" s="92"/>
      <x:c r="W48" s="92"/>
      <x:c r="X48" s="92"/>
      <x:c r="Y48" s="92"/>
      <x:c r="Z48" s="92"/>
    </x:row>
    <x:row r="49" ht="118" customHeight="1">
      <x:c r="A49" s="106" t="str">
        <x:v>SATE-APP-005</x:v>
      </x:c>
      <x:c r="B49" s="107" t="str">
        <x:v>Mobile App Lifecycle and Authentication</x:v>
      </x:c>
      <x:c r="C49" s="107" t="str">
        <x:v>Authentication token expires during upload or processing</x:v>
      </x:c>
      <x:c r="D49" s="107" t="str">
        <x:v>SATE Mobile App; Authentication; Supabase</x:v>
      </x:c>
      <x:c r="E49" s="107" t="str">
        <x:v>Security / Recovery</x:v>
      </x:c>
      <x:c r="F49" s="107" t="str">
        <x:v>P0</x:v>
      </x:c>
      <x:c r="G49" s="107" t="str">
        <x:v>RQ-10,RQ-17</x:v>
      </x:c>
      <x:c r="H49" s="107" t="str">
        <x:v>Verify safe token refresh or reauthentication without losing the session.</x:v>
      </x:c>
      <x:c r="I49" s="107" t="str">
        <x:v>Use a short-lived token or simulate expiration.</x:v>
      </x:c>
      <x:c r="J49" s="107" t="str">
        <x:v>5-minute session.</x:v>
      </x:c>
      <x:c r="K49" s="107" t="str">
        <x:v>1. Start upload.
2. Expire/revoke the access token.
3. Observe app behavior.
4. Reauthenticate if prompted.
5. Confirm final completion.</x:v>
      </x:c>
      <x:c r="L49" s="107" t="str">
        <x:v>The app prompts appropriately or refreshes the token securely. It does not assign data to a different account.</x:v>
      </x:c>
      <x:c r="M49" s="107" t="str">
        <x:v>Unauthorized requests fail safely. After reauthentication, the same queued session completes once.</x:v>
      </x:c>
      <x:c r="N49" s="107" t="str">
        <x:v>Check auth logs, user ID, session ID, request count, and final data ownership.</x:v>
      </x:c>
      <x:c r="O49" s="107" t="str">
        <x:v>Token expiry causes no data loss, unauthorized access, duplicate session, or account mis-association.</x:v>
      </x:c>
      <x:c r="P49" s="107" t="str"/>
      <x:c r="Q49" s="107" t="str">
        <x:v>Not Run</x:v>
      </x:c>
      <x:c r="R49" s="107" t="str"/>
      <x:c r="S49" s="108" t="str"/>
      <x:c r="T49" s="92"/>
      <x:c r="U49" s="92"/>
      <x:c r="V49" s="92"/>
      <x:c r="W49" s="92"/>
      <x:c r="X49" s="92"/>
      <x:c r="Y49" s="92"/>
      <x:c r="Z49" s="92"/>
    </x:row>
    <x:row r="50" ht="118" customHeight="1">
      <x:c r="A50" s="106" t="str">
        <x:v>SATE-APP-006</x:v>
      </x:c>
      <x:c r="B50" s="107" t="str">
        <x:v>Mobile App Lifecycle and Authentication</x:v>
      </x:c>
      <x:c r="C50" s="107" t="str">
        <x:v>User logs out while sessions are pending upload</x:v>
      </x:c>
      <x:c r="D50" s="107" t="str">
        <x:v>SATE Mobile App; Authentication; Upload Queue</x:v>
      </x:c>
      <x:c r="E50" s="107" t="str">
        <x:v>Security / Product Rule</x:v>
      </x:c>
      <x:c r="F50" s="107" t="str">
        <x:v>P0</x:v>
      </x:c>
      <x:c r="G50" s="107" t="str">
        <x:v>RQ-17,RQ-22</x:v>
      </x:c>
      <x:c r="H50" s="107" t="str">
        <x:v>Verify the documented logout policy for unsynced clinical data.</x:v>
      </x:c>
      <x:c r="I50" s="107" t="str">
        <x:v>At least one local pending session exists.</x:v>
      </x:c>
      <x:c r="J50" s="107" t="str">
        <x:v>One pending session for User A.</x:v>
      </x:c>
      <x:c r="K50" s="107" t="str">
        <x:v>1. Attempt logout.
2. Observe warning/blocking behavior.
3. Follow the provided option: cancel, sync first, or secure local retention.
4. Log back in as User A and verify the session.</x:v>
      </x:c>
      <x:c r="L50" s="107" t="str">
        <x:v>The app clearly warns about pending data and follows the approved policy. It must not silently discard the session.</x:v>
      </x:c>
      <x:c r="M50" s="107" t="str">
        <x:v>Pending data remain encrypted/associated with User A and are not uploaded under another user.</x:v>
      </x:c>
      <x:c r="N50" s="107" t="str">
        <x:v>Check queue ownership, local retention, later upload, and absence of cross-account records.</x:v>
      </x:c>
      <x:c r="O50" s="107" t="str">
        <x:v>Logout cannot cause silent loss or cross-user upload of pending data.</x:v>
      </x:c>
      <x:c r="P50" s="107" t="str"/>
      <x:c r="Q50" s="107" t="str">
        <x:v>Not Run</x:v>
      </x:c>
      <x:c r="R50" s="107" t="str"/>
      <x:c r="S50" s="108" t="str"/>
      <x:c r="T50" s="92"/>
      <x:c r="U50" s="92"/>
      <x:c r="V50" s="92"/>
      <x:c r="W50" s="92"/>
      <x:c r="X50" s="92"/>
      <x:c r="Y50" s="92"/>
      <x:c r="Z50" s="92"/>
    </x:row>
    <x:row r="51" ht="118" customHeight="1">
      <x:c r="A51" s="106" t="str">
        <x:v>SATE-APP-007</x:v>
      </x:c>
      <x:c r="B51" s="107" t="str">
        <x:v>Mobile App Lifecycle and Authentication</x:v>
      </x:c>
      <x:c r="C51" s="107" t="str">
        <x:v>Different user logs in while prior user's session remains pending</x:v>
      </x:c>
      <x:c r="D51" s="107" t="str">
        <x:v>SATE Mobile App; Authentication; Upload Queue</x:v>
      </x:c>
      <x:c r="E51" s="107" t="str">
        <x:v>Security / Data Isolation</x:v>
      </x:c>
      <x:c r="F51" s="107" t="str">
        <x:v>P0</x:v>
      </x:c>
      <x:c r="G51" s="107" t="str">
        <x:v>RQ-17,RQ-22</x:v>
      </x:c>
      <x:c r="H51" s="107" t="str">
        <x:v>Verify strict ownership of locally queued sessions.</x:v>
      </x:c>
      <x:c r="I51" s="107" t="str">
        <x:v>User A has a pending local session; User A logs out according to allowed workflow.</x:v>
      </x:c>
      <x:c r="J51" s="107" t="str">
        <x:v>User A and User B test accounts.</x:v>
      </x:c>
      <x:c r="K51" s="107" t="str">
        <x:v>1. Create pending session as User A.
2. Log out.
3. Log in as User B.
4. Inspect queue/session list.
5. Restore User A and complete upload.</x:v>
      </x:c>
      <x:c r="L51" s="107" t="str">
        <x:v>User B cannot view, play, edit, export, or upload User A's pending session.</x:v>
      </x:c>
      <x:c r="M51" s="107" t="str">
        <x:v>Queue item remains bound to User A. No backend record links it to User B.</x:v>
      </x:c>
      <x:c r="N51" s="107" t="str">
        <x:v>Check local access controls, user IDs, session ownership, and final upload ownership.</x:v>
      </x:c>
      <x:c r="O51" s="107" t="str">
        <x:v>No cross-user visibility or upload occurs.</x:v>
      </x:c>
      <x:c r="P51" s="107" t="str"/>
      <x:c r="Q51" s="107" t="str">
        <x:v>Not Run</x:v>
      </x:c>
      <x:c r="R51" s="107" t="str"/>
      <x:c r="S51" s="108" t="str"/>
      <x:c r="T51" s="92"/>
      <x:c r="U51" s="92"/>
      <x:c r="V51" s="92"/>
      <x:c r="W51" s="92"/>
      <x:c r="X51" s="92"/>
      <x:c r="Y51" s="92"/>
      <x:c r="Z51" s="92"/>
    </x:row>
    <x:row r="52" ht="118" customHeight="1">
      <x:c r="A52" s="106" t="str">
        <x:v>SATE-APP-008</x:v>
      </x:c>
      <x:c r="B52" s="107" t="str">
        <x:v>Mobile App Lifecycle and Authentication</x:v>
      </x:c>
      <x:c r="C52" s="107" t="str">
        <x:v>App update or reinstall when unsynced sessions exist</x:v>
      </x:c>
      <x:c r="D52" s="107" t="str">
        <x:v>SATE Mobile App; Local Storage; App Update</x:v>
      </x:c>
      <x:c r="E52" s="107" t="str">
        <x:v>Recovery / Compatibility</x:v>
      </x:c>
      <x:c r="F52" s="107" t="str">
        <x:v>P1</x:v>
      </x:c>
      <x:c r="G52" s="107" t="str">
        <x:v>RQ-04,RQ-19,RQ-22</x:v>
      </x:c>
      <x:c r="H52" s="107" t="str">
        <x:v>Verify upgrade behavior and documented reinstall limitations.</x:v>
      </x:c>
      <x:c r="I52" s="107" t="str">
        <x:v>Pending local sessions exist; an update build is available.</x:v>
      </x:c>
      <x:c r="J52" s="107" t="str">
        <x:v>Two pending sessions.</x:v>
      </x:c>
      <x:c r="K52" s="107" t="str">
        <x:v>1. Create pending sessions.
2. Upgrade the app without uninstalling.
3. Verify queue and upload.
4. Separately test uninstall/reinstall according to approved procedure.
5. Verify warnings and retained/lost data behavior.</x:v>
      </x:c>
      <x:c r="L52" s="107" t="str">
        <x:v>Normal app update preserves sessions. Before uninstall, the app/system provides an appropriate warning if local data will be removed.</x:v>
      </x:c>
      <x:c r="M52" s="107" t="str">
        <x:v>Session identity and ownership remain correct after supported upgrade. No duplicate is created.</x:v>
      </x:c>
      <x:c r="N52" s="107" t="str">
        <x:v>Compare queue/session IDs before and after update; document reinstall behavior and final backend records.</x:v>
      </x:c>
      <x:c r="O52" s="107" t="str">
        <x:v>Supported updates preserve data; unsupported destructive actions are clearly warned and do not create false sync states.</x:v>
      </x:c>
      <x:c r="P52" s="107" t="str"/>
      <x:c r="Q52" s="107" t="str">
        <x:v>Not Run</x:v>
      </x:c>
      <x:c r="R52" s="107" t="str"/>
      <x:c r="S52" s="108" t="str"/>
      <x:c r="T52" s="92"/>
      <x:c r="U52" s="92"/>
      <x:c r="V52" s="92"/>
      <x:c r="W52" s="92"/>
      <x:c r="X52" s="92"/>
      <x:c r="Y52" s="92"/>
      <x:c r="Z52" s="92"/>
    </x:row>
    <x:row r="53" ht="118" customHeight="1">
      <x:c r="A53" s="106" t="str">
        <x:v>SATE-BE-001</x:v>
      </x:c>
      <x:c r="B53" s="107" t="str">
        <x:v>Backend, Retry, and AI Processing</x:v>
      </x:c>
      <x:c r="C53" s="107" t="str">
        <x:v>Standard backend status progression and result persistence</x:v>
      </x:c>
      <x:c r="D53" s="107" t="str">
        <x:v>Supabase Postgres; Edge Functions; Cloudflare; AI service</x:v>
      </x:c>
      <x:c r="E53" s="107" t="str">
        <x:v>Integration / Functional</x:v>
      </x:c>
      <x:c r="F53" s="107" t="str">
        <x:v>P0</x:v>
      </x:c>
      <x:c r="G53" s="107" t="str">
        <x:v>RQ-01,RQ-02,RQ-20</x:v>
      </x:c>
      <x:c r="H53" s="107" t="str">
        <x:v>Verify normal service-to-service orchestration.</x:v>
      </x:c>
      <x:c r="I53" s="107" t="str">
        <x:v>A valid uploaded audio session exists; all services are healthy.</x:v>
      </x:c>
      <x:c r="J53" s="107" t="str">
        <x:v>One 5-minute audio session.</x:v>
      </x:c>
      <x:c r="K53" s="107" t="str">
        <x:v>1. Submit the session for processing.
2. Trace status and request IDs across services.
3. Wait for result.
4. Refresh Web App.</x:v>
      </x:c>
      <x:c r="L53" s="107" t="str">
        <x:v>Web App progresses through Processing to Completed and shows the result once.</x:v>
      </x:c>
      <x:c r="M53" s="107" t="str">
        <x:v>Status transitions are valid; one AI request/result is linked to the correct session; result JSON is persisted atomically.</x:v>
      </x:c>
      <x:c r="N53" s="107" t="str">
        <x:v>Check timestamps, request IDs, attempt count, status history, JSON schema, and session-result linkage.</x:v>
      </x:c>
      <x:c r="O53" s="107" t="str">
        <x:v>One complete result is stored and exposed with no missing, duplicate, or out-of-order terminal state.</x:v>
      </x:c>
      <x:c r="P53" s="107" t="str"/>
      <x:c r="Q53" s="107" t="str">
        <x:v>Not Run</x:v>
      </x:c>
      <x:c r="R53" s="107" t="str"/>
      <x:c r="S53" s="108" t="str"/>
      <x:c r="T53" s="92"/>
      <x:c r="U53" s="92"/>
      <x:c r="V53" s="92"/>
      <x:c r="W53" s="92"/>
      <x:c r="X53" s="92"/>
      <x:c r="Y53" s="92"/>
      <x:c r="Z53" s="92"/>
    </x:row>
    <x:row r="54" ht="118" customHeight="1">
      <x:c r="A54" s="106" t="str">
        <x:v>SATE-BE-002</x:v>
      </x:c>
      <x:c r="B54" s="107" t="str">
        <x:v>Backend, Retry, and AI Processing</x:v>
      </x:c>
      <x:c r="C54" s="107" t="str">
        <x:v>AI service returns 500 once, then succeeds</x:v>
      </x:c>
      <x:c r="D54" s="107" t="str">
        <x:v>Cloudflare; AI service; Edge Functions</x:v>
      </x:c>
      <x:c r="E54" s="107" t="str">
        <x:v>Retry / Integration</x:v>
      </x:c>
      <x:c r="F54" s="107" t="str">
        <x:v>P0</x:v>
      </x:c>
      <x:c r="G54" s="107" t="str">
        <x:v>RQ-11</x:v>
      </x:c>
      <x:c r="H54" s="107" t="str">
        <x:v>Verify retry on a transient 5xx error.</x:v>
      </x:c>
      <x:c r="I54" s="107" t="str">
        <x:v>Fault injection can return 500 on the first AI attempt and success on the second.</x:v>
      </x:c>
      <x:c r="J54" s="107" t="str">
        <x:v>Valid audio session.</x:v>
      </x:c>
      <x:c r="K54" s="107" t="str">
        <x:v>1. Submit processing.
2. Return 500 on attempt 1.
3. Return a valid result on attempt 2.
4. Inspect attempt logs and final session.</x:v>
      </x:c>
      <x:c r="L54" s="107" t="str">
        <x:v>Web App may remain Processing or show a non-terminal retry message, then reaches Completed.</x:v>
      </x:c>
      <x:c r="M54" s="107" t="str">
        <x:v>Exactly two processing attempts occur; both reference the same session; one final result is committed.</x:v>
      </x:c>
      <x:c r="N54" s="107" t="str">
        <x:v>Verify retry count, backoff timing, request/session IDs, single final result, and no duplicate report.</x:v>
      </x:c>
      <x:c r="O54" s="107" t="str">
        <x:v>Transient 5xx is retried according to policy and the session completes once.</x:v>
      </x:c>
      <x:c r="P54" s="107" t="str"/>
      <x:c r="Q54" s="107" t="str">
        <x:v>Not Run</x:v>
      </x:c>
      <x:c r="R54" s="107" t="str"/>
      <x:c r="S54" s="108" t="str"/>
      <x:c r="T54" s="92"/>
      <x:c r="U54" s="92"/>
      <x:c r="V54" s="92"/>
      <x:c r="W54" s="92"/>
      <x:c r="X54" s="92"/>
      <x:c r="Y54" s="92"/>
      <x:c r="Z54" s="92"/>
    </x:row>
    <x:row r="55" ht="118" customHeight="1">
      <x:c r="A55" s="106" t="str">
        <x:v>SATE-BE-003</x:v>
      </x:c>
      <x:c r="B55" s="107" t="str">
        <x:v>Backend, Retry, and AI Processing</x:v>
      </x:c>
      <x:c r="C55" s="107" t="str">
        <x:v>AI service returns 5xx on all three allowed attempts</x:v>
      </x:c>
      <x:c r="D55" s="107" t="str">
        <x:v>Cloudflare; AI service; Edge Functions; Web App</x:v>
      </x:c>
      <x:c r="E55" s="107" t="str">
        <x:v>Retry / Negative</x:v>
      </x:c>
      <x:c r="F55" s="107" t="str">
        <x:v>P0</x:v>
      </x:c>
      <x:c r="G55" s="107" t="str">
        <x:v>RQ-11,RQ-13</x:v>
      </x:c>
      <x:c r="H55" s="107" t="str">
        <x:v>Verify maximum retry count and final failure handling.</x:v>
      </x:c>
      <x:c r="I55" s="107" t="str">
        <x:v>Fault injection returns 5xx for every attempt.</x:v>
      </x:c>
      <x:c r="J55" s="107" t="str">
        <x:v>Valid audio session.</x:v>
      </x:c>
      <x:c r="K55" s="107" t="str">
        <x:v>1. Submit processing.
2. Return 5xx three times.
3. Observe retry timing.
4. Inspect final status.
5. Use manual reprocess if supported.</x:v>
      </x:c>
      <x:c r="L55" s="107" t="str">
        <x:v>After the allowed attempts, the session shows a clear Failed/Retry Available state rather than indefinite Processing.</x:v>
      </x:c>
      <x:c r="M55" s="107" t="str">
        <x:v>No fourth automatic attempt occurs. Audio remains available for manual reprocess. Failure reason and attempts are logged.</x:v>
      </x:c>
      <x:c r="N55" s="107" t="str">
        <x:v>Verify exactly three automatic attempts, terminal status, retained audio, no result duplication, and manual retry behavior if enabled.</x:v>
      </x:c>
      <x:c r="O55" s="107" t="str">
        <x:v>Retry limit is enforced and the session remains recoverable without data loss.</x:v>
      </x:c>
      <x:c r="P55" s="107" t="str"/>
      <x:c r="Q55" s="107" t="str">
        <x:v>Not Run</x:v>
      </x:c>
      <x:c r="R55" s="107" t="str"/>
      <x:c r="S55" s="108" t="str"/>
      <x:c r="T55" s="92"/>
      <x:c r="U55" s="92"/>
      <x:c r="V55" s="92"/>
      <x:c r="W55" s="92"/>
      <x:c r="X55" s="92"/>
      <x:c r="Y55" s="92"/>
      <x:c r="Z55" s="92"/>
    </x:row>
    <x:row r="56" ht="118" customHeight="1">
      <x:c r="A56" s="106" t="str">
        <x:v>SATE-BE-004</x:v>
      </x:c>
      <x:c r="B56" s="107" t="str">
        <x:v>Backend, Retry, and AI Processing</x:v>
      </x:c>
      <x:c r="C56" s="107" t="str">
        <x:v>AI service returns a non-retryable 4xx error</x:v>
      </x:c>
      <x:c r="D56" s="107" t="str">
        <x:v>Cloudflare; AI service; Edge Functions</x:v>
      </x:c>
      <x:c r="E56" s="107" t="str">
        <x:v>Negative / Retry Policy</x:v>
      </x:c>
      <x:c r="F56" s="107" t="str">
        <x:v>P0</x:v>
      </x:c>
      <x:c r="G56" s="107" t="str">
        <x:v>RQ-12,RQ-13</x:v>
      </x:c>
      <x:c r="H56" s="107" t="str">
        <x:v>Verify that client/data errors are not blindly retried as transient failures.</x:v>
      </x:c>
      <x:c r="I56" s="107" t="str">
        <x:v>Fault injection can return a representative 4xx response.</x:v>
      </x:c>
      <x:c r="J56" s="107" t="str">
        <x:v>Valid or intentionally invalid request.</x:v>
      </x:c>
      <x:c r="K56" s="107" t="str">
        <x:v>1. Submit processing.
2. Return the selected 4xx response.
3. Observe attempts and final status.
4. Correct the issue if possible and manually reprocess.</x:v>
      </x:c>
      <x:c r="L56" s="107" t="str">
        <x:v>The UI shows a clear processing failure or action required.</x:v>
      </x:c>
      <x:c r="M56" s="107" t="str">
        <x:v>Automatic retry follows the documented 4xx policy, normally no repeated blind retries. Error details are logged safely.</x:v>
      </x:c>
      <x:c r="N56" s="107" t="str">
        <x:v>Verify attempt count, error classification, retained audio, and absence of duplicate jobs.</x:v>
      </x:c>
      <x:c r="O56" s="107" t="str">
        <x:v>Non-retryable errors are classified correctly and do not consume three unnecessary attempts.</x:v>
      </x:c>
      <x:c r="P56" s="107" t="str"/>
      <x:c r="Q56" s="107" t="str">
        <x:v>Not Run</x:v>
      </x:c>
      <x:c r="R56" s="107" t="str"/>
      <x:c r="S56" s="108" t="str"/>
      <x:c r="T56" s="92"/>
      <x:c r="U56" s="92"/>
      <x:c r="V56" s="92"/>
      <x:c r="W56" s="92"/>
      <x:c r="X56" s="92"/>
      <x:c r="Y56" s="92"/>
      <x:c r="Z56" s="92"/>
    </x:row>
    <x:row r="57" ht="118" customHeight="1">
      <x:c r="A57" s="106" t="str">
        <x:v>SATE-BE-005</x:v>
      </x:c>
      <x:c r="B57" s="107" t="str">
        <x:v>Backend, Retry, and AI Processing</x:v>
      </x:c>
      <x:c r="C57" s="107" t="str">
        <x:v>AI request times out, then succeeds</x:v>
      </x:c>
      <x:c r="D57" s="107" t="str">
        <x:v>Cloudflare; AI service; Edge Functions</x:v>
      </x:c>
      <x:c r="E57" s="107" t="str">
        <x:v>Timeout / Retry</x:v>
      </x:c>
      <x:c r="F57" s="107" t="str">
        <x:v>P0</x:v>
      </x:c>
      <x:c r="G57" s="107" t="str">
        <x:v>RQ-11,RQ-20</x:v>
      </x:c>
      <x:c r="H57" s="107" t="str">
        <x:v>Verify timeout detection, retry, and idempotent completion.</x:v>
      </x:c>
      <x:c r="I57" s="107" t="str">
        <x:v>First AI attempt is delayed beyond the configured timeout; second returns normally.</x:v>
      </x:c>
      <x:c r="J57" s="107" t="str">
        <x:v>Valid audio session.</x:v>
      </x:c>
      <x:c r="K57" s="107" t="str">
        <x:v>1. Submit processing.
2. Delay response past timeout.
3. Allow retry.
4. Return a valid result.
5. Inspect late response handling.</x:v>
      </x:c>
      <x:c r="L57" s="107" t="str">
        <x:v>Session eventually reaches Completed without showing two results.</x:v>
      </x:c>
      <x:c r="M57" s="107" t="str">
        <x:v>Timed-out and late responses are handled idempotently; one final result is accepted.</x:v>
      </x:c>
      <x:c r="N57" s="107" t="str">
        <x:v>Verify attempt count, timeout duration, late-response disposition, result count, and final status.</x:v>
      </x:c>
      <x:c r="O57" s="107" t="str">
        <x:v>Timeout recovery yields one correct result and no duplicate or conflicting terminal state.</x:v>
      </x:c>
      <x:c r="P57" s="107" t="str"/>
      <x:c r="Q57" s="107" t="str">
        <x:v>Not Run</x:v>
      </x:c>
      <x:c r="R57" s="107" t="str"/>
      <x:c r="S57" s="108" t="str"/>
      <x:c r="T57" s="92"/>
      <x:c r="U57" s="92"/>
      <x:c r="V57" s="92"/>
      <x:c r="W57" s="92"/>
      <x:c r="X57" s="92"/>
      <x:c r="Y57" s="92"/>
      <x:c r="Z57" s="92"/>
    </x:row>
    <x:row r="58" ht="118" customHeight="1">
      <x:c r="A58" s="106" t="str">
        <x:v>SATE-BE-006</x:v>
      </x:c>
      <x:c r="B58" s="107" t="str">
        <x:v>Backend, Retry, and AI Processing</x:v>
      </x:c>
      <x:c r="C58" s="107" t="str">
        <x:v>AI returns malformed JSON</x:v>
      </x:c>
      <x:c r="D58" s="107" t="str">
        <x:v>AI service; Cloudflare; Edge Functions; Supabase</x:v>
      </x:c>
      <x:c r="E58" s="107" t="str">
        <x:v>Schema Validation / Negative</x:v>
      </x:c>
      <x:c r="F58" s="107" t="str">
        <x:v>P0</x:v>
      </x:c>
      <x:c r="G58" s="107" t="str">
        <x:v>RQ-14</x:v>
      </x:c>
      <x:c r="H58" s="107" t="str">
        <x:v>Verify validation before storing or displaying AI output.</x:v>
      </x:c>
      <x:c r="I58" s="107" t="str">
        <x:v>AI response can be replaced with invalid JSON.</x:v>
      </x:c>
      <x:c r="J58" s="107" t="str">
        <x:v>Valid audio session.</x:v>
      </x:c>
      <x:c r="K58" s="107" t="str">
        <x:v>1. Submit processing.
2. Return malformed JSON.
3. Observe backend and Web App.
4. Inspect stored data and logs.</x:v>
      </x:c>
      <x:c r="L58" s="107" t="str">
        <x:v>Web App shows a controlled processing error, not a broken page or raw stack trace.</x:v>
      </x:c>
      <x:c r="M58" s="107" t="str">
        <x:v>Malformed payload is rejected or quarantined; no invalid transcript/annotation is committed as Completed.</x:v>
      </x:c>
      <x:c r="N58" s="107" t="str">
        <x:v>Verify JSON parsing failure, terminal/retryable status, retained audio, safe logs, and absence of partial corrupt data.</x:v>
      </x:c>
      <x:c r="O58" s="107" t="str">
        <x:v>Invalid JSON cannot create a Completed session or break the Web App.</x:v>
      </x:c>
      <x:c r="P58" s="107" t="str"/>
      <x:c r="Q58" s="107" t="str">
        <x:v>Not Run</x:v>
      </x:c>
      <x:c r="R58" s="107" t="str"/>
      <x:c r="S58" s="108" t="str"/>
      <x:c r="T58" s="92"/>
      <x:c r="U58" s="92"/>
      <x:c r="V58" s="92"/>
      <x:c r="W58" s="92"/>
      <x:c r="X58" s="92"/>
      <x:c r="Y58" s="92"/>
      <x:c r="Z58" s="92"/>
    </x:row>
    <x:row r="59" ht="118" customHeight="1">
      <x:c r="A59" s="106" t="str">
        <x:v>SATE-BE-007</x:v>
      </x:c>
      <x:c r="B59" s="107" t="str">
        <x:v>Backend, Retry, and AI Processing</x:v>
      </x:c>
      <x:c r="C59" s="107" t="str">
        <x:v>AI returns valid JSON with missing or partial required fields</x:v>
      </x:c>
      <x:c r="D59" s="107" t="str">
        <x:v>AI service; Edge Functions; Supabase; Web App</x:v>
      </x:c>
      <x:c r="E59" s="107" t="str">
        <x:v>Schema Validation / Partial Result</x:v>
      </x:c>
      <x:c r="F59" s="107" t="str">
        <x:v>P0</x:v>
      </x:c>
      <x:c r="G59" s="107" t="str">
        <x:v>RQ-14</x:v>
      </x:c>
      <x:c r="H59" s="107" t="str">
        <x:v>Verify documented handling of partial AI output.</x:v>
      </x:c>
      <x:c r="I59" s="107" t="str">
        <x:v>AI response can omit transcript, annotation, confidence, or metadata fields.</x:v>
      </x:c>
      <x:c r="J59" s="107" t="str">
        <x:v>Several controlled partial-response variants.</x:v>
      </x:c>
      <x:c r="K59" s="107" t="str">
        <x:v>1. Submit each variant.
2. Review validation and status.
3. Open the session in Web App.
4. Attempt report export.</x:v>
      </x:c>
      <x:c r="L59" s="107" t="str">
        <x:v>UI shows available data and an explicit Partial/Failed state according to requirement. Missing fields do not crash the page.</x:v>
      </x:c>
      <x:c r="M59" s="107" t="str">
        <x:v>Required-field validation is enforced. Partial results are stored only under the documented schema/state.</x:v>
      </x:c>
      <x:c r="N59" s="107" t="str">
        <x:v>Check schema, status, report behavior, field defaults, and absence of fabricated values.</x:v>
      </x:c>
      <x:c r="O59" s="107" t="str">
        <x:v>Partial output is handled consistently and never misrepresented as a complete valid report.</x:v>
      </x:c>
      <x:c r="P59" s="107" t="str"/>
      <x:c r="Q59" s="107" t="str">
        <x:v>Not Run</x:v>
      </x:c>
      <x:c r="R59" s="107" t="str"/>
      <x:c r="S59" s="108" t="str"/>
      <x:c r="T59" s="92"/>
      <x:c r="U59" s="92"/>
      <x:c r="V59" s="92"/>
      <x:c r="W59" s="92"/>
      <x:c r="X59" s="92"/>
      <x:c r="Y59" s="92"/>
      <x:c r="Z59" s="92"/>
    </x:row>
    <x:row r="60" ht="118" customHeight="1">
      <x:c r="A60" s="106" t="str">
        <x:v>SATE-BE-008</x:v>
      </x:c>
      <x:c r="B60" s="107" t="str">
        <x:v>Backend, Retry, and AI Processing</x:v>
      </x:c>
      <x:c r="C60" s="107" t="str">
        <x:v>Duplicate AI callback or duplicate result submission</x:v>
      </x:c>
      <x:c r="D60" s="107" t="str">
        <x:v>AI service; Cloudflare; Edge Functions; Supabase</x:v>
      </x:c>
      <x:c r="E60" s="107" t="str">
        <x:v>Idempotency / Integration</x:v>
      </x:c>
      <x:c r="F60" s="107" t="str">
        <x:v>P0</x:v>
      </x:c>
      <x:c r="G60" s="107" t="str">
        <x:v>RQ-03,RQ-14</x:v>
      </x:c>
      <x:c r="H60" s="107" t="str">
        <x:v>Verify safe handling of repeated identical results.</x:v>
      </x:c>
      <x:c r="I60" s="107" t="str">
        <x:v>A valid AI result can be submitted twice for the same attempt/session.</x:v>
      </x:c>
      <x:c r="J60" s="107" t="str">
        <x:v>One completed processing result delivered twice.</x:v>
      </x:c>
      <x:c r="K60" s="107" t="str">
        <x:v>1. Process a session normally.
2. Replay the same callback/result.
3. Refresh the Web App and inspect database.</x:v>
      </x:c>
      <x:c r="L60" s="107" t="str">
        <x:v>The user still sees one result and one report version unless versioning explicitly records duplicates as audit events.</x:v>
      </x:c>
      <x:c r="M60" s="107" t="str">
        <x:v>Duplicate result is ignored, merged, or recorded idempotently; no second transcript or terminal state is created.</x:v>
      </x:c>
      <x:c r="N60" s="107" t="str">
        <x:v>Count result rows, annotations, report records, status history, and visible sessions.</x:v>
      </x:c>
      <x:c r="O60" s="107" t="str">
        <x:v>Duplicate callbacks do not duplicate user-visible data or overwrite a newer valid result.</x:v>
      </x:c>
      <x:c r="P60" s="107" t="str"/>
      <x:c r="Q60" s="107" t="str">
        <x:v>Not Run</x:v>
      </x:c>
      <x:c r="R60" s="107" t="str"/>
      <x:c r="S60" s="108" t="str"/>
      <x:c r="T60" s="92"/>
      <x:c r="U60" s="92"/>
      <x:c r="V60" s="92"/>
      <x:c r="W60" s="92"/>
      <x:c r="X60" s="92"/>
      <x:c r="Y60" s="92"/>
      <x:c r="Z60" s="92"/>
    </x:row>
    <x:row r="61" ht="118" customHeight="1">
      <x:c r="A61" s="106" t="str">
        <x:v>SATE-BE-009</x:v>
      </x:c>
      <x:c r="B61" s="107" t="str">
        <x:v>Backend, Retry, and AI Processing</x:v>
      </x:c>
      <x:c r="C61" s="107" t="str">
        <x:v>Out-of-order status updates or late responses</x:v>
      </x:c>
      <x:c r="D61" s="107" t="str">
        <x:v>Edge Functions; Cloudflare; AI service; Supabase</x:v>
      </x:c>
      <x:c r="E61" s="107" t="str">
        <x:v>Concurrency / State Machine</x:v>
      </x:c>
      <x:c r="F61" s="107" t="str">
        <x:v>P0</x:v>
      </x:c>
      <x:c r="G61" s="107" t="str">
        <x:v>RQ-01,RQ-02</x:v>
      </x:c>
      <x:c r="H61" s="107" t="str">
        <x:v>Verify that stale events cannot regress a completed session.</x:v>
      </x:c>
      <x:c r="I61" s="107" t="str">
        <x:v>Test harness can deliver Processing, Failed, and Completed events out of order.</x:v>
      </x:c>
      <x:c r="J61" s="107" t="str">
        <x:v>One session with controlled event ordering.</x:v>
      </x:c>
      <x:c r="K61" s="107" t="str">
        <x:v>1. Send Completed result.
2. Send a delayed Processing or Failed event from an older attempt.
3. Refresh Web App.
4. Inspect status history.</x:v>
      </x:c>
      <x:c r="L61" s="107" t="str">
        <x:v>Completed session remains Completed unless a newer authorized operation changes it.</x:v>
      </x:c>
      <x:c r="M61" s="107" t="str">
        <x:v>State machine rejects stale transitions using attempt/version/timestamp rules.</x:v>
      </x:c>
      <x:c r="N61" s="107" t="str">
        <x:v>Verify final status, event order, attempt IDs, version numbers, and unchanged result.</x:v>
      </x:c>
      <x:c r="O61" s="107" t="str">
        <x:v>Older events cannot overwrite or regress a newer valid terminal state.</x:v>
      </x:c>
      <x:c r="P61" s="107" t="str"/>
      <x:c r="Q61" s="107" t="str">
        <x:v>Not Run</x:v>
      </x:c>
      <x:c r="R61" s="107" t="str"/>
      <x:c r="S61" s="108" t="str"/>
      <x:c r="T61" s="92"/>
      <x:c r="U61" s="92"/>
      <x:c r="V61" s="92"/>
      <x:c r="W61" s="92"/>
      <x:c r="X61" s="92"/>
      <x:c r="Y61" s="92"/>
      <x:c r="Z61" s="92"/>
    </x:row>
    <x:row r="62" ht="118" customHeight="1">
      <x:c r="A62" s="106" t="str">
        <x:v>SATE-BE-010</x:v>
      </x:c>
      <x:c r="B62" s="107" t="str">
        <x:v>Backend, Retry, and AI Processing</x:v>
      </x:c>
      <x:c r="C62" s="107" t="str">
        <x:v>Cloudflare or Edge Function is temporarily unavailable</x:v>
      </x:c>
      <x:c r="D62" s="107" t="str">
        <x:v>Cloudflare; Edge Functions; Supabase</x:v>
      </x:c>
      <x:c r="E62" s="107" t="str">
        <x:v>Service Outage / Recovery</x:v>
      </x:c>
      <x:c r="F62" s="107" t="str">
        <x:v>P0</x:v>
      </x:c>
      <x:c r="G62" s="107" t="str">
        <x:v>RQ-11,RQ-13,RQ-20</x:v>
      </x:c>
      <x:c r="H62" s="107" t="str">
        <x:v>Verify durable processing requests during an intermediary outage.</x:v>
      </x:c>
      <x:c r="I62" s="107" t="str">
        <x:v>Audio is uploaded; Cloudflare or Edge Function can be made unavailable.</x:v>
      </x:c>
      <x:c r="J62" s="107" t="str">
        <x:v>Valid session; temporary outage followed by recovery.</x:v>
      </x:c>
      <x:c r="K62" s="107" t="str">
        <x:v>1. Start processing.
2. Make the intermediary unavailable.
3. Observe status/retries.
4. Restore service.
5. Verify completion.</x:v>
      </x:c>
      <x:c r="L62" s="107" t="str">
        <x:v>Web App shows Processing/Retrying/Failed with clear recovery path, not a blank result.</x:v>
      </x:c>
      <x:c r="M62" s="107" t="str">
        <x:v>Audio and session remain durable. Retry or manual reprocess uses the same session and creates one final result.</x:v>
      </x:c>
      <x:c r="N62" s="107" t="str">
        <x:v>Check request attempts, retained audio, status transitions, result count, and recovery time.</x:v>
      </x:c>
      <x:c r="O62" s="107" t="str">
        <x:v>Temporary service outage does not lose audio, duplicate sessions, or leave an unrecoverable state.</x:v>
      </x:c>
      <x:c r="P62" s="107" t="str"/>
      <x:c r="Q62" s="107" t="str">
        <x:v>Not Run</x:v>
      </x:c>
      <x:c r="R62" s="107" t="str"/>
      <x:c r="S62" s="108" t="str"/>
      <x:c r="T62" s="92"/>
      <x:c r="U62" s="92"/>
      <x:c r="V62" s="92"/>
      <x:c r="W62" s="92"/>
      <x:c r="X62" s="92"/>
      <x:c r="Y62" s="92"/>
      <x:c r="Z62" s="92"/>
    </x:row>
    <x:row r="63" ht="118" customHeight="1">
      <x:c r="A63" s="106" t="str">
        <x:v>SATE-BE-011</x:v>
      </x:c>
      <x:c r="B63" s="107" t="str">
        <x:v>Backend, Retry, and AI Processing</x:v>
      </x:c>
      <x:c r="C63" s="107" t="str">
        <x:v>Audio upload succeeds but database/session update fails</x:v>
      </x:c>
      <x:c r="D63" s="107" t="str">
        <x:v>Supabase Storage; Postgres; Edge Functions</x:v>
      </x:c>
      <x:c r="E63" s="107" t="str">
        <x:v>Consistency / Recovery</x:v>
      </x:c>
      <x:c r="F63" s="107" t="str">
        <x:v>P0</x:v>
      </x:c>
      <x:c r="G63" s="107" t="str">
        <x:v>RQ-02,RQ-03,RQ-04</x:v>
      </x:c>
      <x:c r="H63" s="107" t="str">
        <x:v>Verify reconciliation of storage and database partial success.</x:v>
      </x:c>
      <x:c r="I63" s="107" t="str">
        <x:v>Fault injection allows object upload but fails the subsequent database write.</x:v>
      </x:c>
      <x:c r="J63" s="107" t="str">
        <x:v>One 5-minute audio upload.</x:v>
      </x:c>
      <x:c r="K63" s="107" t="str">
        <x:v>1. Upload the audio object.
2. Fail the session/status database write.
3. Restore database service.
4. Run automatic reconciliation or retry.
5. Inspect storage and DB.</x:v>
      </x:c>
      <x:c r="L63" s="107" t="str">
        <x:v>User sees a retryable sync state and does not see an unusable ghost session.</x:v>
      </x:c>
      <x:c r="M63" s="107" t="str">
        <x:v>Object and session record are reconciled, or orphan object is safely removed. Processing begins only after consistent metadata exists.</x:v>
      </x:c>
      <x:c r="N63" s="107" t="str">
        <x:v>Check storage object count/path, DB rows, session ID, reconciliation logs, and final result.</x:v>
      </x:c>
      <x:c r="O63" s="107" t="str">
        <x:v>Partial success is repaired without orphaned clinical data, duplicate object, or wrong session linkage.</x:v>
      </x:c>
      <x:c r="P63" s="107" t="str"/>
      <x:c r="Q63" s="107" t="str">
        <x:v>Not Run</x:v>
      </x:c>
      <x:c r="R63" s="107" t="str"/>
      <x:c r="S63" s="108" t="str"/>
      <x:c r="T63" s="92"/>
      <x:c r="U63" s="92"/>
      <x:c r="V63" s="92"/>
      <x:c r="W63" s="92"/>
      <x:c r="X63" s="92"/>
      <x:c r="Y63" s="92"/>
      <x:c r="Z63" s="92"/>
    </x:row>
    <x:row r="64" ht="118" customHeight="1">
      <x:c r="A64" s="106" t="str">
        <x:v>SATE-BE-012</x:v>
      </x:c>
      <x:c r="B64" s="107" t="str">
        <x:v>Backend, Retry, and AI Processing</x:v>
      </x:c>
      <x:c r="C64" s="107" t="str">
        <x:v>Manual reprocess after final processing failure</x:v>
      </x:c>
      <x:c r="D64" s="107" t="str">
        <x:v>Web App; Edge Functions; Cloudflare; AI service</x:v>
      </x:c>
      <x:c r="E64" s="107" t="str">
        <x:v>Recovery / Functional</x:v>
      </x:c>
      <x:c r="F64" s="107" t="str">
        <x:v>P0</x:v>
      </x:c>
      <x:c r="G64" s="107" t="str">
        <x:v>RQ-13</x:v>
      </x:c>
      <x:c r="H64" s="107" t="str">
        <x:v>Verify authorized reprocessing uses the original audio and session.</x:v>
      </x:c>
      <x:c r="I64" s="107" t="str">
        <x:v>A session is in Failed Final state with retained valid audio.</x:v>
      </x:c>
      <x:c r="J64" s="107" t="str">
        <x:v>One failed session; authorized user.</x:v>
      </x:c>
      <x:c r="K64" s="107" t="str">
        <x:v>1. Open failed session.
2. Select Reprocess/Retry.
3. Confirm action if required.
4. Allow successful AI response.
5. Review result and audit history.</x:v>
      </x:c>
      <x:c r="L64" s="107" t="str">
        <x:v>User sees one session transition back to Processing and then Completed. Previous failure remains traceable.</x:v>
      </x:c>
      <x:c r="M64" s="107" t="str">
        <x:v>A new processing attempt is linked to the same session/audio. One current final result is exposed; audit history records the retry.</x:v>
      </x:c>
      <x:c r="N64" s="107" t="str">
        <x:v>Verify session ID unchanged, attempt incremented, audio object unchanged, result version/audit, and no duplicate session.</x:v>
      </x:c>
      <x:c r="O64" s="107" t="str">
        <x:v>Manual reprocess successfully recovers the session without re-uploading or duplicating it.</x:v>
      </x:c>
      <x:c r="P64" s="107" t="str"/>
      <x:c r="Q64" s="107" t="str">
        <x:v>Not Run</x:v>
      </x:c>
      <x:c r="R64" s="107" t="str"/>
      <x:c r="S64" s="108" t="str"/>
      <x:c r="T64" s="92"/>
      <x:c r="U64" s="92"/>
      <x:c r="V64" s="92"/>
      <x:c r="W64" s="92"/>
      <x:c r="X64" s="92"/>
      <x:c r="Y64" s="92"/>
      <x:c r="Z64" s="92"/>
    </x:row>
    <x:row r="65" ht="118" customHeight="1">
      <x:c r="A65" s="106" t="str">
        <x:v>SATE-WEB-001</x:v>
      </x:c>
      <x:c r="B65" s="107" t="str">
        <x:v>Web Transcript Review</x:v>
      </x:c>
      <x:c r="C65" s="107" t="str">
        <x:v>Open and review a completed transcript</x:v>
      </x:c>
      <x:c r="D65" s="107" t="str">
        <x:v>SATE Web App; Supabase; Audio Player</x:v>
      </x:c>
      <x:c r="E65" s="107" t="str">
        <x:v>Functional</x:v>
      </x:c>
      <x:c r="F65" s="107" t="str">
        <x:v>P0</x:v>
      </x:c>
      <x:c r="G65" s="107" t="str">
        <x:v>RQ-15,RQ-17</x:v>
      </x:c>
      <x:c r="H65" s="107" t="str">
        <x:v>Verify normal transcript review and session metadata display.</x:v>
      </x:c>
      <x:c r="I65" s="107" t="str">
        <x:v>A completed session exists and the user has access.</x:v>
      </x:c>
      <x:c r="J65" s="107" t="str">
        <x:v>Standard 5-minute completed session.</x:v>
      </x:c>
      <x:c r="K65" s="107" t="str">
        <x:v>1. Log in.
2. Open session list.
3. Select the session.
4. Review metadata, audio, transcript, and annotations.
5. Refresh the page.</x:v>
      </x:c>
      <x:c r="L65" s="107" t="str">
        <x:v>Content loads completely; labels are understandable; refresh retains the same session and data.</x:v>
      </x:c>
      <x:c r="M65" s="107" t="str">
        <x:v>Reads return the correct session/result version and authorized audio reference.</x:v>
      </x:c>
      <x:c r="N65" s="107" t="str">
        <x:v>Compare displayed user, session ID, date, duration, transcript, annotations, and audio.</x:v>
      </x:c>
      <x:c r="O65" s="107" t="str">
        <x:v>The correct complete session is reviewable without missing, stale, or mismatched content.</x:v>
      </x:c>
      <x:c r="P65" s="107" t="str"/>
      <x:c r="Q65" s="107" t="str">
        <x:v>Not Run</x:v>
      </x:c>
      <x:c r="R65" s="107" t="str"/>
      <x:c r="S65" s="108" t="str"/>
      <x:c r="T65" s="92"/>
      <x:c r="U65" s="92"/>
      <x:c r="V65" s="92"/>
      <x:c r="W65" s="92"/>
      <x:c r="X65" s="92"/>
      <x:c r="Y65" s="92"/>
      <x:c r="Z65" s="92"/>
    </x:row>
    <x:row r="66" ht="118" customHeight="1">
      <x:c r="A66" s="106" t="str">
        <x:v>SATE-WEB-002</x:v>
      </x:c>
      <x:c r="B66" s="107" t="str">
        <x:v>Web Transcript Review</x:v>
      </x:c>
      <x:c r="C66" s="107" t="str">
        <x:v>Display of Processing, Retryable Failure, and Final Failure states</x:v>
      </x:c>
      <x:c r="D66" s="107" t="str">
        <x:v>SATE Web App; Supabase</x:v>
      </x:c>
      <x:c r="E66" s="107" t="str">
        <x:v>State Handling / Usability</x:v>
      </x:c>
      <x:c r="F66" s="107" t="str">
        <x:v>P0</x:v>
      </x:c>
      <x:c r="G66" s="107" t="str">
        <x:v>RQ-01,RQ-13,RQ-14</x:v>
      </x:c>
      <x:c r="H66" s="107" t="str">
        <x:v>Verify clear non-completed session states.</x:v>
      </x:c>
      <x:c r="I66" s="107" t="str">
        <x:v>Create sessions in Processing, Retryable Failure, and Final Failure.</x:v>
      </x:c>
      <x:c r="J66" s="107" t="str">
        <x:v>Three controlled sessions.</x:v>
      </x:c>
      <x:c r="K66" s="107" t="str">
        <x:v>1. Open each session.
2. Observe messages and available actions.
3. Refresh after status changes.</x:v>
      </x:c>
      <x:c r="L66" s="107" t="str">
        <x:v>Each state has a distinct explanation and only appropriate actions. No page appears empty or permanently loading without context.</x:v>
      </x:c>
      <x:c r="M66" s="107" t="str">
        <x:v>Displayed state matches canonical backend state and updates without creating new records.</x:v>
      </x:c>
      <x:c r="N66" s="107" t="str">
        <x:v>Compare UI status to DB status, attempt count, and available retry permissions.</x:v>
      </x:c>
      <x:c r="O66" s="107" t="str">
        <x:v>Users can distinguish processing from failure and know whether to wait or retry.</x:v>
      </x:c>
      <x:c r="P66" s="107" t="str"/>
      <x:c r="Q66" s="107" t="str">
        <x:v>Not Run</x:v>
      </x:c>
      <x:c r="R66" s="107" t="str"/>
      <x:c r="S66" s="108" t="str"/>
      <x:c r="T66" s="92"/>
      <x:c r="U66" s="92"/>
      <x:c r="V66" s="92"/>
      <x:c r="W66" s="92"/>
      <x:c r="X66" s="92"/>
      <x:c r="Y66" s="92"/>
      <x:c r="Z66" s="92"/>
    </x:row>
    <x:row r="67" ht="118" customHeight="1">
      <x:c r="A67" s="106" t="str">
        <x:v>SATE-WEB-003</x:v>
      </x:c>
      <x:c r="B67" s="107" t="str">
        <x:v>Web Transcript Review</x:v>
      </x:c>
      <x:c r="C67" s="107" t="str">
        <x:v>Refresh, browser Back/Forward, and multiple tabs</x:v>
      </x:c>
      <x:c r="D67" s="107" t="str">
        <x:v>SATE Web App; Browser</x:v>
      </x:c>
      <x:c r="E67" s="107" t="str">
        <x:v>Reliability / Navigation</x:v>
      </x:c>
      <x:c r="F67" s="107" t="str">
        <x:v>P1</x:v>
      </x:c>
      <x:c r="G67" s="107" t="str">
        <x:v>RQ-15</x:v>
      </x:c>
      <x:c r="H67" s="107" t="str">
        <x:v>Verify session context is not mixed across navigation actions.</x:v>
      </x:c>
      <x:c r="I67" s="107" t="str">
        <x:v>Two completed sessions A and B exist.</x:v>
      </x:c>
      <x:c r="J67" s="107" t="str">
        <x:v>Open A and B in separate tabs.</x:v>
      </x:c>
      <x:c r="K67" s="107" t="str">
        <x:v>1. Open Session A.
2. Open Session B in another tab.
3. Refresh both.
4. Use Back and Forward.
5. Compare displayed content.</x:v>
      </x:c>
      <x:c r="L67" s="107" t="str">
        <x:v>Each tab retains its own session. Navigation never shows Session A metadata with Session B transcript/audio.</x:v>
      </x:c>
      <x:c r="M67" s="107" t="str">
        <x:v>Requests use the correct session ID and return the correct result version.</x:v>
      </x:c>
      <x:c r="N67" s="107" t="str">
        <x:v>Compare URL/session ID, metadata, transcript marker, audio marker, and report link in each tab.</x:v>
      </x:c>
      <x:c r="O67" s="107" t="str">
        <x:v>No cross-session content mixing or stale-cache substitution occurs.</x:v>
      </x:c>
      <x:c r="P67" s="107" t="str"/>
      <x:c r="Q67" s="107" t="str">
        <x:v>Not Run</x:v>
      </x:c>
      <x:c r="R67" s="107" t="str"/>
      <x:c r="S67" s="108" t="str"/>
      <x:c r="T67" s="92"/>
      <x:c r="U67" s="92"/>
      <x:c r="V67" s="92"/>
      <x:c r="W67" s="92"/>
      <x:c r="X67" s="92"/>
      <x:c r="Y67" s="92"/>
      <x:c r="Z67" s="92"/>
    </x:row>
    <x:row r="68" ht="118" customHeight="1">
      <x:c r="A68" s="106" t="str">
        <x:v>SATE-WEB-004</x:v>
      </x:c>
      <x:c r="B68" s="107" t="str">
        <x:v>Web Transcript Review</x:v>
      </x:c>
      <x:c r="C68" s="107" t="str">
        <x:v>Audio playback and transcript association</x:v>
      </x:c>
      <x:c r="D68" s="107" t="str">
        <x:v>SATE Web App; Audio Storage; Transcript View</x:v>
      </x:c>
      <x:c r="E68" s="107" t="str">
        <x:v>Data Integrity / Functional</x:v>
      </x:c>
      <x:c r="F68" s="107" t="str">
        <x:v>P0</x:v>
      </x:c>
      <x:c r="G68" s="107" t="str">
        <x:v>RQ-04,RQ-15</x:v>
      </x:c>
      <x:c r="H68" s="107" t="str">
        <x:v>Verify that the audio player is linked to the correct session and remains usable.</x:v>
      </x:c>
      <x:c r="I68" s="107" t="str">
        <x:v>Completed sessions A and B contain distinct spoken labels.</x:v>
      </x:c>
      <x:c r="J68" s="107" t="str">
        <x:v>Two completed sessions.</x:v>
      </x:c>
      <x:c r="K68" s="107" t="str">
        <x:v>1. Open Session A and play beginning/end.
2. Open Session B and play beginning/end.
3. Seek, pause, resume, and reload.
4. Compare to transcripts.</x:v>
      </x:c>
      <x:c r="L68" s="107" t="str">
        <x:v>Audio controls work and each session plays its own audio. Errors are explained.</x:v>
      </x:c>
      <x:c r="M68" s="107" t="str">
        <x:v>Authorized audio URL points to the correct object and does not change across sessions.</x:v>
      </x:c>
      <x:c r="N68" s="107" t="str">
        <x:v>Match spoken label to transcript/session; verify duration and access controls.</x:v>
      </x:c>
      <x:c r="O68" s="107" t="str">
        <x:v>No wrong-audio association, broken seeking, or unauthorized cross-session playback occurs.</x:v>
      </x:c>
      <x:c r="P68" s="107" t="str"/>
      <x:c r="Q68" s="107" t="str">
        <x:v>Not Run</x:v>
      </x:c>
      <x:c r="R68" s="107" t="str"/>
      <x:c r="S68" s="108" t="str"/>
      <x:c r="T68" s="92"/>
      <x:c r="U68" s="92"/>
      <x:c r="V68" s="92"/>
      <x:c r="W68" s="92"/>
      <x:c r="X68" s="92"/>
      <x:c r="Y68" s="92"/>
      <x:c r="Z68" s="92"/>
    </x:row>
    <x:row r="69" ht="118" customHeight="1">
      <x:c r="A69" s="106" t="str">
        <x:v>SATE-WEB-005</x:v>
      </x:c>
      <x:c r="B69" s="107" t="str">
        <x:v>Web Transcript Review</x:v>
      </x:c>
      <x:c r="C69" s="107" t="str">
        <x:v>Edit and save transcript with versioning</x:v>
      </x:c>
      <x:c r="D69" s="107" t="str">
        <x:v>SATE Web App; Supabase; Audit/Version Store</x:v>
      </x:c>
      <x:c r="E69" s="107" t="str">
        <x:v>Functional / Data Integrity</x:v>
      </x:c>
      <x:c r="F69" s="107" t="str">
        <x:v>P0</x:v>
      </x:c>
      <x:c r="G69" s="107" t="str">
        <x:v>RQ-15,RQ-16</x:v>
      </x:c>
      <x:c r="H69" s="107" t="str">
        <x:v>Verify transcript correction, persistence, and report source.</x:v>
      </x:c>
      <x:c r="I69" s="107" t="str">
        <x:v>Transcript editing is enabled and user has edit permission.</x:v>
      </x:c>
      <x:c r="J69" s="107" t="str">
        <x:v>Completed session with known correction points.</x:v>
      </x:c>
      <x:c r="K69" s="107" t="str">
        <x:v>1. Edit several transcript segments.
2. Save.
3. Refresh and reopen.
4. Export PDF.
5. Review audit/version information.</x:v>
      </x:c>
      <x:c r="L69" s="107" t="str">
        <x:v>Edits persist and are visually distinguishable from unsaved changes. PDF uses the approved latest version.</x:v>
      </x:c>
      <x:c r="M69" s="107" t="str">
        <x:v>Original AI result is retained or versioned according to policy; edited version is saved atomically with user/time audit.</x:v>
      </x:c>
      <x:c r="N69" s="107" t="str">
        <x:v>Compare original and edited versions, last-saved timestamp, editor identity, and PDF content.</x:v>
      </x:c>
      <x:c r="O69" s="107" t="str">
        <x:v>Edits are durable, auditable, and cannot accidentally overwrite the wrong session.</x:v>
      </x:c>
      <x:c r="P69" s="107" t="str"/>
      <x:c r="Q69" s="107" t="str">
        <x:v>Not Run</x:v>
      </x:c>
      <x:c r="R69" s="107" t="str"/>
      <x:c r="S69" s="108" t="str"/>
      <x:c r="T69" s="92"/>
      <x:c r="U69" s="92"/>
      <x:c r="V69" s="92"/>
      <x:c r="W69" s="92"/>
      <x:c r="X69" s="92"/>
      <x:c r="Y69" s="92"/>
      <x:c r="Z69" s="92"/>
    </x:row>
    <x:row r="70" ht="118" customHeight="1">
      <x:c r="A70" s="106" t="str">
        <x:v>SATE-WEB-006</x:v>
      </x:c>
      <x:c r="B70" s="107" t="str">
        <x:v>Web Transcript Review</x:v>
      </x:c>
      <x:c r="C70" s="107" t="str">
        <x:v>Save failure and concurrent transcript editing</x:v>
      </x:c>
      <x:c r="D70" s="107" t="str">
        <x:v>SATE Web App; Supabase; Audit/Version Store</x:v>
      </x:c>
      <x:c r="E70" s="107" t="str">
        <x:v>Concurrency / Recovery</x:v>
      </x:c>
      <x:c r="F70" s="107" t="str">
        <x:v>P0</x:v>
      </x:c>
      <x:c r="G70" s="107" t="str">
        <x:v>RQ-15</x:v>
      </x:c>
      <x:c r="H70" s="107" t="str">
        <x:v>Verify no silent data loss during failed or conflicting edits.</x:v>
      </x:c>
      <x:c r="I70" s="107" t="str">
        <x:v>Two authorized browser sessions can open the same transcript; DB failure can be simulated.</x:v>
      </x:c>
      <x:c r="J70" s="107" t="str">
        <x:v>Session with editable transcript.</x:v>
      </x:c>
      <x:c r="K70" s="107" t="str">
        <x:v>1. Open the transcript in two browsers.
2. Make different edits.
3. Save Browser A.
4. Save Browser B or inject save failure.
5. Refresh both.</x:v>
      </x:c>
      <x:c r="L70" s="107" t="str">
        <x:v>Save failure is explicit and unsaved text is not falsely shown as saved. Concurrent conflict follows the documented policy.</x:v>
      </x:c>
      <x:c r="M70" s="107" t="str">
        <x:v>Version/optimistic-lock rules prevent silent last-writer data loss or create a traceable new version.</x:v>
      </x:c>
      <x:c r="N70" s="107" t="str">
        <x:v>Inspect versions, timestamps, editor IDs, final text, and error logs.</x:v>
      </x:c>
      <x:c r="O70" s="107" t="str">
        <x:v>No silent overwrite, wrong-session save, or false success occurs.</x:v>
      </x:c>
      <x:c r="P70" s="107" t="str"/>
      <x:c r="Q70" s="107" t="str">
        <x:v>Not Run</x:v>
      </x:c>
      <x:c r="R70" s="107" t="str"/>
      <x:c r="S70" s="108" t="str"/>
      <x:c r="T70" s="92"/>
      <x:c r="U70" s="92"/>
      <x:c r="V70" s="92"/>
      <x:c r="W70" s="92"/>
      <x:c r="X70" s="92"/>
      <x:c r="Y70" s="92"/>
      <x:c r="Z70" s="92"/>
    </x:row>
    <x:row r="71" ht="118" customHeight="1">
      <x:c r="A71" s="106" t="str">
        <x:v>SATE-WEB-007</x:v>
      </x:c>
      <x:c r="B71" s="107" t="str">
        <x:v>Web Transcript Review</x:v>
      </x:c>
      <x:c r="C71" s="107" t="str">
        <x:v>Long transcript and special characters</x:v>
      </x:c>
      <x:c r="D71" s="107" t="str">
        <x:v>SATE Web App; Browser; Supabase</x:v>
      </x:c>
      <x:c r="E71" s="107" t="str">
        <x:v>Compatibility / Performance</x:v>
      </x:c>
      <x:c r="F71" s="107" t="str">
        <x:v>P1</x:v>
      </x:c>
      <x:c r="G71" s="107" t="str">
        <x:v>RQ-15,RQ-19,RQ-20</x:v>
      </x:c>
      <x:c r="H71" s="107" t="str">
        <x:v>Verify rendering of long content, IPA, Unicode, punctuation, and long tokens.</x:v>
      </x:c>
      <x:c r="I71" s="107" t="str">
        <x:v>A long completed/edited transcript containing special characters exists.</x:v>
      </x:c>
      <x:c r="J71" s="107" t="str">
        <x:v>45-minute transcript; apostrophes, hyphens, IPA symbols, accented characters, non-Latin Unicode, and long strings.</x:v>
      </x:c>
      <x:c r="K71" s="107" t="str">
        <x:v>1. Open the transcript.
2. Search/scroll through the page.
3. Edit and save selected special characters if supported.
4. Refresh.
5. Export PDF.</x:v>
      </x:c>
      <x:c r="L71" s="107" t="str">
        <x:v>Page remains responsive; characters render without replacement boxes or corruption; layout does not overlap.</x:v>
      </x:c>
      <x:c r="M71" s="107" t="str">
        <x:v>Stored text remains unchanged under round-trip read/write.</x:v>
      </x:c>
      <x:c r="N71" s="107" t="str">
        <x:v>Compare source text, displayed text, saved text, and PDF text for encoding changes.</x:v>
      </x:c>
      <x:c r="O71" s="107" t="str">
        <x:v>Long and multilingual/special-character content remains accurate and usable.</x:v>
      </x:c>
      <x:c r="P71" s="107" t="str"/>
      <x:c r="Q71" s="107" t="str">
        <x:v>Not Run</x:v>
      </x:c>
      <x:c r="R71" s="107" t="str"/>
      <x:c r="S71" s="108" t="str"/>
      <x:c r="T71" s="92"/>
      <x:c r="U71" s="92"/>
      <x:c r="V71" s="92"/>
      <x:c r="W71" s="92"/>
      <x:c r="X71" s="92"/>
      <x:c r="Y71" s="92"/>
      <x:c r="Z71" s="92"/>
    </x:row>
    <x:row r="72" ht="118" customHeight="1">
      <x:c r="A72" s="106" t="str">
        <x:v>SATE-PDF-001</x:v>
      </x:c>
      <x:c r="B72" s="107" t="str">
        <x:v>PDF Export</x:v>
      </x:c>
      <x:c r="C72" s="107" t="str">
        <x:v>Standard SATE report export</x:v>
      </x:c>
      <x:c r="D72" s="107" t="str">
        <x:v>SATE Web App; PDF Service; Supabase</x:v>
      </x:c>
      <x:c r="E72" s="107" t="str">
        <x:v>Functional</x:v>
      </x:c>
      <x:c r="F72" s="107" t="str">
        <x:v>P0</x:v>
      </x:c>
      <x:c r="G72" s="107" t="str">
        <x:v>RQ-16,RQ-17</x:v>
      </x:c>
      <x:c r="H72" s="107" t="str">
        <x:v>Verify a complete report can be generated from a completed session.</x:v>
      </x:c>
      <x:c r="I72" s="107" t="str">
        <x:v>Completed session exists and user has export permission.</x:v>
      </x:c>
      <x:c r="J72" s="107" t="str">
        <x:v>Standard 5-minute session.</x:v>
      </x:c>
      <x:c r="K72" s="107" t="str">
        <x:v>1. Open the session.
2. Select Export PDF.
3. Open the file.
4. Compare report fields to the Web App.</x:v>
      </x:c>
      <x:c r="L72" s="107" t="str">
        <x:v>Export succeeds once; file opens without warning; layout is readable.</x:v>
      </x:c>
      <x:c r="M72" s="107" t="str">
        <x:v>Report is generated from the correct authorized session and current approved transcript/result version.</x:v>
      </x:c>
      <x:c r="N72" s="107" t="str">
        <x:v>Compare user/session metadata, date, duration, transcript, annotations, page count, and file name.</x:v>
      </x:c>
      <x:c r="O72" s="107" t="str">
        <x:v>PDF is complete, readable, correctly associated, and free of missing or stale content.</x:v>
      </x:c>
      <x:c r="P72" s="107" t="str"/>
      <x:c r="Q72" s="107" t="str">
        <x:v>Not Run</x:v>
      </x:c>
      <x:c r="R72" s="107" t="str"/>
      <x:c r="S72" s="108" t="str"/>
      <x:c r="T72" s="92"/>
      <x:c r="U72" s="92"/>
      <x:c r="V72" s="92"/>
      <x:c r="W72" s="92"/>
      <x:c r="X72" s="92"/>
      <x:c r="Y72" s="92"/>
      <x:c r="Z72" s="92"/>
    </x:row>
    <x:row r="73" ht="118" customHeight="1">
      <x:c r="A73" s="106" t="str">
        <x:v>SATE-PDF-002</x:v>
      </x:c>
      <x:c r="B73" s="107" t="str">
        <x:v>PDF Export</x:v>
      </x:c>
      <x:c r="C73" s="107" t="str">
        <x:v>Long-session report pagination</x:v>
      </x:c>
      <x:c r="D73" s="107" t="str">
        <x:v>SATE Web App; PDF Service</x:v>
      </x:c>
      <x:c r="E73" s="107" t="str">
        <x:v>Performance / Layout</x:v>
      </x:c>
      <x:c r="F73" s="107" t="str">
        <x:v>P0</x:v>
      </x:c>
      <x:c r="G73" s="107" t="str">
        <x:v>RQ-16,RQ-20</x:v>
      </x:c>
      <x:c r="H73" s="107" t="str">
        <x:v>Verify multi-page report formatting for long transcripts and annotation tables.</x:v>
      </x:c>
      <x:c r="I73" s="107" t="str">
        <x:v>A completed 45-60 minute session exists.</x:v>
      </x:c>
      <x:c r="J73" s="107" t="str">
        <x:v>Long transcript and large annotation set.</x:v>
      </x:c>
      <x:c r="K73" s="107" t="str">
        <x:v>1. Export PDF.
2. Review every page.
3. Check page breaks, headers, footers, tables, and final page.
4. Search for known beginning/end markers.</x:v>
      </x:c>
      <x:c r="L73" s="107" t="str">
        <x:v>No clipped text, overlapping elements, blank unintended pages, or missing final content appears.</x:v>
      </x:c>
      <x:c r="M73" s="107" t="str">
        <x:v>Generation completes within the documented SLA and uses the complete result set.</x:v>
      </x:c>
      <x:c r="N73" s="107" t="str">
        <x:v>Confirm all transcript markers, annotation rows, page numbering, metadata, and file size.</x:v>
      </x:c>
      <x:c r="O73" s="107" t="str">
        <x:v>Long report is complete and professionally paginated.</x:v>
      </x:c>
      <x:c r="P73" s="107" t="str"/>
      <x:c r="Q73" s="107" t="str">
        <x:v>Not Run</x:v>
      </x:c>
      <x:c r="R73" s="107" t="str"/>
      <x:c r="S73" s="108" t="str"/>
      <x:c r="T73" s="92"/>
      <x:c r="U73" s="92"/>
      <x:c r="V73" s="92"/>
      <x:c r="W73" s="92"/>
      <x:c r="X73" s="92"/>
      <x:c r="Y73" s="92"/>
      <x:c r="Z73" s="92"/>
    </x:row>
    <x:row r="74" ht="118" customHeight="1">
      <x:c r="A74" s="106" t="str">
        <x:v>SATE-PDF-003</x:v>
      </x:c>
      <x:c r="B74" s="107" t="str">
        <x:v>PDF Export</x:v>
      </x:c>
      <x:c r="C74" s="107" t="str">
        <x:v>Special characters and Unicode in PDF</x:v>
      </x:c>
      <x:c r="D74" s="107" t="str">
        <x:v>SATE Web App; PDF Service; Fonts</x:v>
      </x:c>
      <x:c r="E74" s="107" t="str">
        <x:v>Compatibility / Layout</x:v>
      </x:c>
      <x:c r="F74" s="107" t="str">
        <x:v>P1</x:v>
      </x:c>
      <x:c r="G74" s="107" t="str">
        <x:v>RQ-16,RQ-19</x:v>
      </x:c>
      <x:c r="H74" s="107" t="str">
        <x:v>Verify correct PDF rendering for supported characters.</x:v>
      </x:c>
      <x:c r="I74" s="107" t="str">
        <x:v>Transcript contains the supported special-character test set.</x:v>
      </x:c>
      <x:c r="J74" s="107" t="str">
        <x:v>IPA, accented Latin, punctuation, speaker labels, symbols, and selected non-Latin text.</x:v>
      </x:c>
      <x:c r="K74" s="107" t="str">
        <x:v>1. Export the report.
2. Compare each special-character sample with the Web App/source.
3. Copy text from PDF where applicable.</x:v>
      </x:c>
      <x:c r="L74" s="107" t="str">
        <x:v>Characters render correctly without boxes, substitutions, or layout corruption.</x:v>
      </x:c>
      <x:c r="M74" s="107" t="str">
        <x:v>PDF generator receives and encodes the correct current text.</x:v>
      </x:c>
      <x:c r="N74" s="107" t="str">
        <x:v>Compare source/display/PDF characters and text extraction where relevant.</x:v>
      </x:c>
      <x:c r="O74" s="107" t="str">
        <x:v>All supported characters remain legible and accurate.</x:v>
      </x:c>
      <x:c r="P74" s="107" t="str"/>
      <x:c r="Q74" s="107" t="str">
        <x:v>Not Run</x:v>
      </x:c>
      <x:c r="R74" s="107" t="str"/>
      <x:c r="S74" s="108" t="str"/>
      <x:c r="T74" s="92"/>
      <x:c r="U74" s="92"/>
      <x:c r="V74" s="92"/>
      <x:c r="W74" s="92"/>
      <x:c r="X74" s="92"/>
      <x:c r="Y74" s="92"/>
      <x:c r="Z74" s="92"/>
    </x:row>
    <x:row r="75" ht="118" customHeight="1">
      <x:c r="A75" s="106" t="str">
        <x:v>SATE-PDF-004</x:v>
      </x:c>
      <x:c r="B75" s="107" t="str">
        <x:v>PDF Export</x:v>
      </x:c>
      <x:c r="C75" s="107" t="str">
        <x:v>Re-export after transcript edits</x:v>
      </x:c>
      <x:c r="D75" s="107" t="str">
        <x:v>SATE Web App; Supabase; PDF Service; Cache</x:v>
      </x:c>
      <x:c r="E75" s="107" t="str">
        <x:v>Data Integrity / Cache</x:v>
      </x:c>
      <x:c r="F75" s="107" t="str">
        <x:v>P0</x:v>
      </x:c>
      <x:c r="G75" s="107" t="str">
        <x:v>RQ-15,RQ-16</x:v>
      </x:c>
      <x:c r="H75" s="107" t="str">
        <x:v>Verify that a new report uses the latest saved transcript rather than stale cached content.</x:v>
      </x:c>
      <x:c r="I75" s="107" t="str">
        <x:v>Transcript editing is enabled; a prior PDF has already been generated.</x:v>
      </x:c>
      <x:c r="J75" s="107" t="str">
        <x:v>One completed session with a known text correction.</x:v>
      </x:c>
      <x:c r="K75" s="107" t="str">
        <x:v>1. Export the original PDF.
2. Edit and save transcript.
3. Export again.
4. Compare both files.</x:v>
      </x:c>
      <x:c r="L75" s="107" t="str">
        <x:v>Second export contains the saved correction and is clearly the current report.</x:v>
      </x:c>
      <x:c r="M75" s="107" t="str">
        <x:v>Cache/version key changes or regeneration uses the latest approved result version.</x:v>
      </x:c>
      <x:c r="N75" s="107" t="str">
        <x:v>Compare transcript version ID, report generation timestamp, file contents, and file name/version.</x:v>
      </x:c>
      <x:c r="O75" s="107" t="str">
        <x:v>Re-export never returns a stale report after a successful saved edit.</x:v>
      </x:c>
      <x:c r="P75" s="107" t="str"/>
      <x:c r="Q75" s="107" t="str">
        <x:v>Not Run</x:v>
      </x:c>
      <x:c r="R75" s="107" t="str"/>
      <x:c r="S75" s="108" t="str"/>
      <x:c r="T75" s="92"/>
      <x:c r="U75" s="92"/>
      <x:c r="V75" s="92"/>
      <x:c r="W75" s="92"/>
      <x:c r="X75" s="92"/>
      <x:c r="Y75" s="92"/>
      <x:c r="Z75" s="92"/>
    </x:row>
    <x:row r="76" ht="118" customHeight="1">
      <x:c r="A76" s="106" t="str">
        <x:v>SATE-PDF-005</x:v>
      </x:c>
      <x:c r="B76" s="107" t="str">
        <x:v>PDF Export</x:v>
      </x:c>
      <x:c r="C76" s="107" t="str">
        <x:v>Export request for Processing, Partial, or Failed session</x:v>
      </x:c>
      <x:c r="D76" s="107" t="str">
        <x:v>SATE Web App; PDF Service</x:v>
      </x:c>
      <x:c r="E76" s="107" t="str">
        <x:v>Negative / State Handling</x:v>
      </x:c>
      <x:c r="F76" s="107" t="str">
        <x:v>P1</x:v>
      </x:c>
      <x:c r="G76" s="107" t="str">
        <x:v>RQ-13,RQ-14,RQ-16</x:v>
      </x:c>
      <x:c r="H76" s="107" t="str">
        <x:v>Verify controlled behavior when a complete report is not available.</x:v>
      </x:c>
      <x:c r="I76" s="107" t="str">
        <x:v>Sessions exist in Processing, Partial, and Failed states.</x:v>
      </x:c>
      <x:c r="J76" s="107" t="str">
        <x:v>Three controlled sessions.</x:v>
      </x:c>
      <x:c r="K76" s="107" t="str">
        <x:v>1. Open each session.
2. Attempt export.
3. Observe message and any permitted partial-report option.</x:v>
      </x:c>
      <x:c r="L76" s="107" t="str">
        <x:v>Export is disabled or clearly labeled as partial according to requirement. No misleading complete report is generated.</x:v>
      </x:c>
      <x:c r="M76" s="107" t="str">
        <x:v>PDF service validates session state/version before generation.</x:v>
      </x:c>
      <x:c r="N76" s="107" t="str">
        <x:v>Check state, generated file presence, report labeling, and absence of stale report from another session.</x:v>
      </x:c>
      <x:c r="O76" s="107" t="str">
        <x:v>Incomplete sessions cannot produce an unlabeled or misleading complete report.</x:v>
      </x:c>
      <x:c r="P76" s="107" t="str"/>
      <x:c r="Q76" s="107" t="str">
        <x:v>Not Run</x:v>
      </x:c>
      <x:c r="R76" s="107" t="str"/>
      <x:c r="S76" s="108" t="str"/>
      <x:c r="T76" s="92"/>
      <x:c r="U76" s="92"/>
      <x:c r="V76" s="92"/>
      <x:c r="W76" s="92"/>
      <x:c r="X76" s="92"/>
      <x:c r="Y76" s="92"/>
      <x:c r="Z76" s="92"/>
    </x:row>
    <x:row r="77" ht="118" customHeight="1">
      <x:c r="A77" s="106" t="str">
        <x:v>SATE-PDF-006</x:v>
      </x:c>
      <x:c r="B77" s="107" t="str">
        <x:v>PDF Export</x:v>
      </x:c>
      <x:c r="C77" s="107" t="str">
        <x:v>PDF file name, metadata, time zone, repeated export, and access</x:v>
      </x:c>
      <x:c r="D77" s="107" t="str">
        <x:v>SATE Web App; PDF Service; Authorization</x:v>
      </x:c>
      <x:c r="E77" s="107" t="str">
        <x:v>Functional / Security</x:v>
      </x:c>
      <x:c r="F77" s="107" t="str">
        <x:v>P1</x:v>
      </x:c>
      <x:c r="G77" s="107" t="str">
        <x:v>RQ-16,RQ-17,RQ-19</x:v>
      </x:c>
      <x:c r="H77" s="107" t="str">
        <x:v>Verify report naming, metadata consistency, repeatability, and authorized access.</x:v>
      </x:c>
      <x:c r="I77" s="107" t="str">
        <x:v>Completed session exists; user has export access.</x:v>
      </x:c>
      <x:c r="J77" s="107" t="str">
        <x:v>Session with known local date/time and user ID.</x:v>
      </x:c>
      <x:c r="K77" s="107" t="str">
        <x:v>1. Export twice.
2. Review file names and document metadata.
3. Compare report date/time to Web App.
4. Attempt access after logout or URL expiration.</x:v>
      </x:c>
      <x:c r="L77" s="107" t="str">
        <x:v>File naming is deterministic and safe; repeat export does not create wrong content; unauthorized access is denied.</x:v>
      </x:c>
      <x:c r="M77" s="107" t="str">
        <x:v>Generated report remains bound to the correct session/version and protected by the approved authorization mechanism.</x:v>
      </x:c>
      <x:c r="N77" s="107" t="str">
        <x:v>Check file name, report metadata, timestamps/time zone, version, access after logout, and duplicate report records.</x:v>
      </x:c>
      <x:c r="O77" s="107" t="str">
        <x:v>Repeated export is consistent and only authorized users can access the report.</x:v>
      </x:c>
      <x:c r="P77" s="107" t="str"/>
      <x:c r="Q77" s="107" t="str">
        <x:v>Not Run</x:v>
      </x:c>
      <x:c r="R77" s="107" t="str"/>
      <x:c r="S77" s="108" t="str"/>
      <x:c r="T77" s="92"/>
      <x:c r="U77" s="92"/>
      <x:c r="V77" s="92"/>
      <x:c r="W77" s="92"/>
      <x:c r="X77" s="92"/>
      <x:c r="Y77" s="92"/>
      <x:c r="Z77" s="92"/>
    </x:row>
    <x:row r="78" ht="118" customHeight="1">
      <x:c r="A78" s="106" t="str">
        <x:v>SATE-SEC-001</x:v>
      </x:c>
      <x:c r="B78" s="107" t="str">
        <x:v>Security, Privacy, and Data Isolation</x:v>
      </x:c>
      <x:c r="C78" s="107" t="str">
        <x:v>User A cannot view User B's session through normal navigation</x:v>
      </x:c>
      <x:c r="D78" s="107" t="str">
        <x:v>SATE Web App; Supabase Row-Level Security; Authentication</x:v>
      </x:c>
      <x:c r="E78" s="107" t="str">
        <x:v>Security / Authorization</x:v>
      </x:c>
      <x:c r="F78" s="107" t="str">
        <x:v>P0</x:v>
      </x:c>
      <x:c r="G78" s="107" t="str">
        <x:v>RQ-17</x:v>
      </x:c>
      <x:c r="H78" s="107" t="str">
        <x:v>Verify tenant/user data isolation.</x:v>
      </x:c>
      <x:c r="I78" s="107" t="str">
        <x:v>User A and User B each have completed sessions.</x:v>
      </x:c>
      <x:c r="J78" s="107" t="str">
        <x:v>Two non-admin accounts with distinct data.</x:v>
      </x:c>
      <x:c r="K78" s="107" t="str">
        <x:v>1. Log in as User A.
2. Review session list and search/filter.
3. Confirm User B's session is absent.
4. Repeat as User B.</x:v>
      </x:c>
      <x:c r="L78" s="107" t="str">
        <x:v>Each user sees only authorized sessions.</x:v>
      </x:c>
      <x:c r="M78" s="107" t="str">
        <x:v>Unauthorized rows/audio/report references are not returned by backend policies.</x:v>
      </x:c>
      <x:c r="N78" s="107" t="str">
        <x:v>Review network responses, session IDs, audio/report URLs, and DB policy logs if available.</x:v>
      </x:c>
      <x:c r="O78" s="107" t="str">
        <x:v>No unauthorized metadata, transcript, annotation, audio, or report is exposed.</x:v>
      </x:c>
      <x:c r="P78" s="107" t="str"/>
      <x:c r="Q78" s="107" t="str">
        <x:v>Not Run</x:v>
      </x:c>
      <x:c r="R78" s="107" t="str"/>
      <x:c r="S78" s="108" t="str"/>
      <x:c r="T78" s="92"/>
      <x:c r="U78" s="92"/>
      <x:c r="V78" s="92"/>
      <x:c r="W78" s="92"/>
      <x:c r="X78" s="92"/>
      <x:c r="Y78" s="92"/>
      <x:c r="Z78" s="92"/>
    </x:row>
    <x:row r="79" ht="118" customHeight="1">
      <x:c r="A79" s="106" t="str">
        <x:v>SATE-SEC-002</x:v>
      </x:c>
      <x:c r="B79" s="107" t="str">
        <x:v>Security, Privacy, and Data Isolation</x:v>
      </x:c>
      <x:c r="C79" s="107" t="str">
        <x:v>Direct URL or session-ID manipulation</x:v>
      </x:c>
      <x:c r="D79" s="107" t="str">
        <x:v>SATE Web App; API; Supabase Row-Level Security</x:v>
      </x:c>
      <x:c r="E79" s="107" t="str">
        <x:v>Security / Authorization</x:v>
      </x:c>
      <x:c r="F79" s="107" t="str">
        <x:v>P0</x:v>
      </x:c>
      <x:c r="G79" s="107" t="str">
        <x:v>RQ-17</x:v>
      </x:c>
      <x:c r="H79" s="107" t="str">
        <x:v>Verify that changing a URL or request ID cannot bypass access control.</x:v>
      </x:c>
      <x:c r="I79" s="107" t="str">
        <x:v>User A knows or is given User B's test session ID.</x:v>
      </x:c>
      <x:c r="J79" s="107" t="str">
        <x:v>Two user accounts and one unauthorized session ID.</x:v>
      </x:c>
      <x:c r="K79" s="107" t="str">
        <x:v>1. Log in as User A.
2. Replace URL/API session ID with User B's ID.
3. Attempt transcript, audio, annotation, and PDF access.</x:v>
      </x:c>
      <x:c r="L79" s="107" t="str">
        <x:v>UI returns an authorized Not Found/Access Denied response without revealing sensitive metadata.</x:v>
      </x:c>
      <x:c r="M79" s="107" t="str">
        <x:v>Backend rejects every unauthorized resource request regardless of client-side navigation.</x:v>
      </x:c>
      <x:c r="N79" s="107" t="str">
        <x:v>Inspect HTTP status, response body, logs, and absence of leaked signed URLs or metadata.</x:v>
      </x:c>
      <x:c r="O79" s="107" t="str">
        <x:v>No protected content or existence-sensitive detail is disclosed.</x:v>
      </x:c>
      <x:c r="P79" s="107" t="str"/>
      <x:c r="Q79" s="107" t="str">
        <x:v>Not Run</x:v>
      </x:c>
      <x:c r="R79" s="107" t="str"/>
      <x:c r="S79" s="108" t="str"/>
      <x:c r="T79" s="92"/>
      <x:c r="U79" s="92"/>
      <x:c r="V79" s="92"/>
      <x:c r="W79" s="92"/>
      <x:c r="X79" s="92"/>
      <x:c r="Y79" s="92"/>
      <x:c r="Z79" s="92"/>
    </x:row>
    <x:row r="80" ht="118" customHeight="1">
      <x:c r="A80" s="106" t="str">
        <x:v>SATE-SEC-003</x:v>
      </x:c>
      <x:c r="B80" s="107" t="str">
        <x:v>Security, Privacy, and Data Isolation</x:v>
      </x:c>
      <x:c r="C80" s="107" t="str">
        <x:v>Logout and token invalidation</x:v>
      </x:c>
      <x:c r="D80" s="107" t="str">
        <x:v>SATE Web App; Mobile App; Authentication</x:v>
      </x:c>
      <x:c r="E80" s="107" t="str">
        <x:v>Security</x:v>
      </x:c>
      <x:c r="F80" s="107" t="str">
        <x:v>P0</x:v>
      </x:c>
      <x:c r="G80" s="107" t="str">
        <x:v>RQ-17</x:v>
      </x:c>
      <x:c r="H80" s="107" t="str">
        <x:v>Verify that an ended session cannot continue accessing protected data.</x:v>
      </x:c>
      <x:c r="I80" s="107" t="str">
        <x:v>User is logged in with an open transcript and active API token.</x:v>
      </x:c>
      <x:c r="J80" s="107" t="str">
        <x:v>One authorized session.</x:v>
      </x:c>
      <x:c r="K80" s="107" t="str">
        <x:v>1. Open transcript/audio.
2. Log out.
3. Use browser Back, refresh, saved API request, and prior audio/report URL.
4. Attempt access from another tab.</x:v>
      </x:c>
      <x:c r="L80" s="107" t="str">
        <x:v>Protected pages redirect to login or deny access. Cached sensitive content is not newly retrievable.</x:v>
      </x:c>
      <x:c r="M80" s="107" t="str">
        <x:v>Expired/revoked token is rejected. Protected URLs follow the approved expiry policy.</x:v>
      </x:c>
      <x:c r="N80" s="107" t="str">
        <x:v>Check API status, cache behavior, signed URL validity, and session cookies/tokens.</x:v>
      </x:c>
      <x:c r="O80" s="107" t="str">
        <x:v>Logout prevents further protected access according to policy.</x:v>
      </x:c>
      <x:c r="P80" s="107" t="str"/>
      <x:c r="Q80" s="107" t="str">
        <x:v>Not Run</x:v>
      </x:c>
      <x:c r="R80" s="107" t="str"/>
      <x:c r="S80" s="108" t="str"/>
      <x:c r="T80" s="92"/>
      <x:c r="U80" s="92"/>
      <x:c r="V80" s="92"/>
      <x:c r="W80" s="92"/>
      <x:c r="X80" s="92"/>
      <x:c r="Y80" s="92"/>
      <x:c r="Z80" s="92"/>
    </x:row>
    <x:row r="81" ht="118" customHeight="1">
      <x:c r="A81" s="106" t="str">
        <x:v>SATE-SEC-004</x:v>
      </x:c>
      <x:c r="B81" s="107" t="str">
        <x:v>Security, Privacy, and Data Isolation</x:v>
      </x:c>
      <x:c r="C81" s="107" t="str">
        <x:v>Pending local session remains isolated during account switch</x:v>
      </x:c>
      <x:c r="D81" s="107" t="str">
        <x:v>SATE Mobile App; Local Storage; Authentication</x:v>
      </x:c>
      <x:c r="E81" s="107" t="str">
        <x:v>Security / Data Isolation</x:v>
      </x:c>
      <x:c r="F81" s="107" t="str">
        <x:v>P0</x:v>
      </x:c>
      <x:c r="G81" s="107" t="str">
        <x:v>RQ-17,RQ-22</x:v>
      </x:c>
      <x:c r="H81" s="107" t="str">
        <x:v>Verify local clinical data cannot cross user boundaries.</x:v>
      </x:c>
      <x:c r="I81" s="107" t="str">
        <x:v>User A has an unsynced session and account switching is permitted.</x:v>
      </x:c>
      <x:c r="J81" s="107" t="str">
        <x:v>User A and User B accounts.</x:v>
      </x:c>
      <x:c r="K81" s="107" t="str">
        <x:v>1. Create pending session as User A.
2. Switch to User B according to allowed flow.
3. Inspect local sessions and attempt upload/playback.
4. Return to User A.</x:v>
      </x:c>
      <x:c r="L81" s="107" t="str">
        <x:v>User B cannot see or interact with User A's pending data.</x:v>
      </x:c>
      <x:c r="M81" s="107" t="str">
        <x:v>Local encryption/ownership metadata keeps the item bound to User A; backend never receives it under User B.</x:v>
      </x:c>
      <x:c r="N81" s="107" t="str">
        <x:v>Inspect local queue ownership, UI visibility, upload requests, and final backend owner.</x:v>
      </x:c>
      <x:c r="O81" s="107" t="str">
        <x:v>No cross-account access or upload occurs.</x:v>
      </x:c>
      <x:c r="P81" s="107" t="str"/>
      <x:c r="Q81" s="107" t="str">
        <x:v>Not Run</x:v>
      </x:c>
      <x:c r="R81" s="107" t="str"/>
      <x:c r="S81" s="108" t="str"/>
      <x:c r="T81" s="92"/>
      <x:c r="U81" s="92"/>
      <x:c r="V81" s="92"/>
      <x:c r="W81" s="92"/>
      <x:c r="X81" s="92"/>
      <x:c r="Y81" s="92"/>
      <x:c r="Z81" s="92"/>
    </x:row>
    <x:row r="82" ht="118" customHeight="1">
      <x:c r="A82" s="106" t="str">
        <x:v>SATE-SEC-005</x:v>
      </x:c>
      <x:c r="B82" s="107" t="str">
        <x:v>Security, Privacy, and Data Isolation</x:v>
      </x:c>
      <x:c r="C82" s="107" t="str">
        <x:v>Role-based access to review, edit, export, retry, and administration</x:v>
      </x:c>
      <x:c r="D82" s="107" t="str">
        <x:v>SATE Web App; Authentication; Authorization</x:v>
      </x:c>
      <x:c r="E82" s="107" t="str">
        <x:v>Security / Functional</x:v>
      </x:c>
      <x:c r="F82" s="107" t="str">
        <x:v>P0</x:v>
      </x:c>
      <x:c r="G82" s="107" t="str">
        <x:v>RQ-17</x:v>
      </x:c>
      <x:c r="H82" s="107" t="str">
        <x:v>Verify each role has only approved actions.</x:v>
      </x:c>
      <x:c r="I82" s="107" t="str">
        <x:v>Test accounts exist for Viewer, Clinician/Editor, and Admin or the actual SATE roles.</x:v>
      </x:c>
      <x:c r="J82" s="107" t="str">
        <x:v>One completed and one failed session.</x:v>
      </x:c>
      <x:c r="K82" s="107" t="str">
        <x:v>1. Log in as each role.
2. Attempt view, audio playback, edit, export, retry/reprocess, and administrative actions.
3. Attempt direct API calls for hidden actions.</x:v>
      </x:c>
      <x:c r="L82" s="107" t="str">
        <x:v>UI shows only permitted actions; forbidden actions are disabled or absent.</x:v>
      </x:c>
      <x:c r="M82" s="107" t="str">
        <x:v>Backend independently enforces permissions and rejects forbidden API calls.</x:v>
      </x:c>
      <x:c r="N82" s="107" t="str">
        <x:v>Record action matrix, HTTP results, audit entries, and any exposed data.</x:v>
      </x:c>
      <x:c r="O82" s="107" t="str">
        <x:v>Every action matches the approved role matrix with no client-side-only security.</x:v>
      </x:c>
      <x:c r="P82" s="107" t="str"/>
      <x:c r="Q82" s="107" t="str">
        <x:v>Not Run</x:v>
      </x:c>
      <x:c r="R82" s="107" t="str"/>
      <x:c r="S82" s="108" t="str"/>
      <x:c r="T82" s="92"/>
      <x:c r="U82" s="92"/>
      <x:c r="V82" s="92"/>
      <x:c r="W82" s="92"/>
      <x:c r="X82" s="92"/>
      <x:c r="Y82" s="92"/>
      <x:c r="Z82" s="92"/>
    </x:row>
    <x:row r="83" ht="118" customHeight="1">
      <x:c r="A83" s="106" t="str">
        <x:v>SATE-SEC-006</x:v>
      </x:c>
      <x:c r="B83" s="107" t="str">
        <x:v>Security, Privacy, and Data Isolation</x:v>
      </x:c>
      <x:c r="C83" s="107" t="str">
        <x:v>Signed audio/report URL expiry and sharing</x:v>
      </x:c>
      <x:c r="D83" s="107" t="str">
        <x:v>SATE Web App; Storage; PDF Service; Authorization</x:v>
      </x:c>
      <x:c r="E83" s="107" t="str">
        <x:v>Security</x:v>
      </x:c>
      <x:c r="F83" s="107" t="str">
        <x:v>P0</x:v>
      </x:c>
      <x:c r="G83" s="107" t="str">
        <x:v>RQ-17</x:v>
      </x:c>
      <x:c r="H83" s="107" t="str">
        <x:v>Verify temporary resource links cannot provide indefinite unauthorized access.</x:v>
      </x:c>
      <x:c r="I83" s="107" t="str">
        <x:v>System uses signed/temporary URLs or equivalent protected access.</x:v>
      </x:c>
      <x:c r="J83" s="107" t="str">
        <x:v>One audio URL and one PDF URL.</x:v>
      </x:c>
      <x:c r="K83" s="107" t="str">
        <x:v>1. Obtain authorized URLs.
2. Test before expiry.
3. Test in a logged-out/private browser.
4. Test after expiry.
5. Request a new authorized URL.</x:v>
      </x:c>
      <x:c r="L83" s="107" t="str">
        <x:v>Access follows policy; expired or unauthorized links fail cleanly.</x:v>
      </x:c>
      <x:c r="M83" s="107" t="str">
        <x:v>Storage/PDF endpoint validates signature, expiry, and authorization as designed.</x:v>
      </x:c>
      <x:c r="N83" s="107" t="str">
        <x:v>Record URL lifetime, HTTP results, referrer/cache behavior, and new-link generation.</x:v>
      </x:c>
      <x:c r="O83" s="107" t="str">
        <x:v>Protected media and reports are not indefinitely accessible through copied links.</x:v>
      </x:c>
      <x:c r="P83" s="107" t="str"/>
      <x:c r="Q83" s="107" t="str">
        <x:v>Not Run</x:v>
      </x:c>
      <x:c r="R83" s="107" t="str"/>
      <x:c r="S83" s="108" t="str"/>
      <x:c r="T83" s="92"/>
      <x:c r="U83" s="92"/>
      <x:c r="V83" s="92"/>
      <x:c r="W83" s="92"/>
      <x:c r="X83" s="92"/>
      <x:c r="Y83" s="92"/>
      <x:c r="Z83" s="92"/>
    </x:row>
    <x:row r="84" ht="118" customHeight="1">
      <x:c r="A84" s="106" t="str">
        <x:v>SATE-SEC-007</x:v>
      </x:c>
      <x:c r="B84" s="107" t="str">
        <x:v>Security, Privacy, and Data Isolation</x:v>
      </x:c>
      <x:c r="C84" s="107" t="str">
        <x:v>Deletion, retention, audit trail, and sensitive logging</x:v>
      </x:c>
      <x:c r="D84" s="107" t="str">
        <x:v>SATE Web App; Supabase; Storage; Edge Functions; Logs</x:v>
      </x:c>
      <x:c r="E84" s="107" t="str">
        <x:v>Security / Privacy / Data Lifecycle</x:v>
      </x:c>
      <x:c r="F84" s="107" t="str">
        <x:v>P0</x:v>
      </x:c>
      <x:c r="G84" s="107" t="str">
        <x:v>RQ-18</x:v>
      </x:c>
      <x:c r="H84" s="107" t="str">
        <x:v>Verify approved deletion/retention behavior and absence of unnecessary sensitive content in logs.</x:v>
      </x:c>
      <x:c r="I84" s="107" t="str">
        <x:v>Test session can be deleted or marked for deletion; log access is available to authorized tester.</x:v>
      </x:c>
      <x:c r="J84" s="107" t="str">
        <x:v>One completed session with transcript, annotations, audio, report, and edit/retry history.</x:v>
      </x:c>
      <x:c r="K84" s="107" t="str">
        <x:v>1. Review audit records before deletion.
2. Delete according to the approved workflow.
3. Attempt access to session, audio, transcript, and PDF.
4. Inspect storage/DB/processing records and logs.
5. Verify retention exceptions if applicable.</x:v>
      </x:c>
      <x:c r="L84" s="107" t="str">
        <x:v>User sees a clear deletion outcome and can no longer access deleted content unless policy provides a recoverable period.</x:v>
      </x:c>
      <x:c r="M84" s="107" t="str">
        <x:v>All related resources are deleted, tombstoned, or retained exactly according to policy. Logs avoid raw sensitive audio/transcript unless explicitly approved.</x:v>
      </x:c>
      <x:c r="N84" s="107" t="str">
        <x:v>Check session row, audio object, result rows, report, signed URLs, audit entries, backups/retention markers, and log contents.</x:v>
      </x:c>
      <x:c r="O84" s="107" t="str">
        <x:v>Data lifecycle matches policy and logs do not expose unnecessary sensitive clinical content.</x:v>
      </x:c>
      <x:c r="P84" s="107" t="str"/>
      <x:c r="Q84" s="107" t="str">
        <x:v>Not Run</x:v>
      </x:c>
      <x:c r="R84" s="107" t="str"/>
      <x:c r="S84" s="108" t="str"/>
      <x:c r="T84" s="92"/>
      <x:c r="U84" s="92"/>
      <x:c r="V84" s="92"/>
      <x:c r="W84" s="92"/>
      <x:c r="X84" s="92"/>
      <x:c r="Y84" s="92"/>
      <x:c r="Z84" s="92"/>
    </x:row>
    <x:row r="85" ht="118" customHeight="1">
      <x:c r="A85" s="106" t="str">
        <x:v>SATE-COMP-001</x:v>
      </x:c>
      <x:c r="B85" s="107" t="str">
        <x:v>Compatibility and Deployment</x:v>
      </x:c>
      <x:c r="C85" s="107" t="str">
        <x:v>Supported iOS and Android versions and representative devices</x:v>
      </x:c>
      <x:c r="D85" s="107" t="str">
        <x:v>SATE Mobile App; BLE Accessory; OS</x:v>
      </x:c>
      <x:c r="E85" s="107" t="str">
        <x:v>Compatibility</x:v>
      </x:c>
      <x:c r="F85" s="107" t="str">
        <x:v>P1</x:v>
      </x:c>
      <x:c r="G85" s="107" t="str">
        <x:v>RQ-19</x:v>
      </x:c>
      <x:c r="H85" s="107" t="str">
        <x:v>Verify core workflows across the supported mobile matrix.</x:v>
      </x:c>
      <x:c r="I85" s="107" t="str">
        <x:v>Supported OS/device list is approved.</x:v>
      </x:c>
      <x:c r="J85" s="107" t="str">
        <x:v>At minimum: oldest supported iOS, current iOS, oldest supported Android, current Android, one low-end Android, one current flagship.</x:v>
      </x:c>
      <x:c r="K85" s="107" t="str">
        <x:v>1. Install and log in on each device.
2. Pair BLE device.
3. Record, upload, review status, and recover from one brief network loss.
4. Compare behavior.</x:v>
      </x:c>
      <x:c r="L85" s="107" t="str">
        <x:v>Core controls, permissions, background behavior, and status displays work consistently.</x:v>
      </x:c>
      <x:c r="M85" s="107" t="str">
        <x:v>Sessions from all supported devices use valid metadata and complete normally.</x:v>
      </x:c>
      <x:c r="N85" s="107" t="str">
        <x:v>Record OS, model, app version, device ID, session result, crash logs, and performance notes.</x:v>
      </x:c>
      <x:c r="O85" s="107" t="str">
        <x:v>All release-supported mobile configurations pass P0 workflows or have documented exceptions.</x:v>
      </x:c>
      <x:c r="P85" s="107" t="str"/>
      <x:c r="Q85" s="107" t="str">
        <x:v>Not Run</x:v>
      </x:c>
      <x:c r="R85" s="107" t="str"/>
      <x:c r="S85" s="108" t="str"/>
      <x:c r="T85" s="92"/>
      <x:c r="U85" s="92"/>
      <x:c r="V85" s="92"/>
      <x:c r="W85" s="92"/>
      <x:c r="X85" s="92"/>
      <x:c r="Y85" s="92"/>
      <x:c r="Z85" s="92"/>
    </x:row>
    <x:row r="86" ht="118" customHeight="1">
      <x:c r="A86" s="106" t="str">
        <x:v>SATE-COMP-002</x:v>
      </x:c>
      <x:c r="B86" s="107" t="str">
        <x:v>Compatibility and Deployment</x:v>
      </x:c>
      <x:c r="C86" s="107" t="str">
        <x:v>Supported desktop browsers for Web App and PDF</x:v>
      </x:c>
      <x:c r="D86" s="107" t="str">
        <x:v>SATE Web App; Chrome; Edge; Safari; PDF Viewer</x:v>
      </x:c>
      <x:c r="E86" s="107" t="str">
        <x:v>Compatibility</x:v>
      </x:c>
      <x:c r="F86" s="107" t="str">
        <x:v>P1</x:v>
      </x:c>
      <x:c r="G86" s="107" t="str">
        <x:v>RQ-19</x:v>
      </x:c>
      <x:c r="H86" s="107" t="str">
        <x:v>Verify review, editing, audio playback, and PDF export across supported browsers.</x:v>
      </x:c>
      <x:c r="I86" s="107" t="str">
        <x:v>Supported browser/version list is approved.</x:v>
      </x:c>
      <x:c r="J86" s="107" t="str">
        <x:v>Latest supported Chrome, Edge, and Safari; representative screen sizes.</x:v>
      </x:c>
      <x:c r="K86" s="107" t="str">
        <x:v>1. Log in on each browser.
2. Open session list and transcript.
3. Play audio.
4. Edit/save if supported.
5. Export/open PDF.</x:v>
      </x:c>
      <x:c r="L86" s="107" t="str">
        <x:v>Layout, controls, audio, editing, and PDF work without browser-specific corruption.</x:v>
      </x:c>
      <x:c r="M86" s="107" t="str">
        <x:v>Requests and saved versions remain consistent across browsers.</x:v>
      </x:c>
      <x:c r="N86" s="107" t="str">
        <x:v>Record browser/version, session ID, functional results, console errors, and screenshots.</x:v>
      </x:c>
      <x:c r="O86" s="107" t="str">
        <x:v>All supported browsers complete the approved workflow without data integrity defects.</x:v>
      </x:c>
      <x:c r="P86" s="107" t="str"/>
      <x:c r="Q86" s="107" t="str">
        <x:v>Not Run</x:v>
      </x:c>
      <x:c r="R86" s="107" t="str"/>
      <x:c r="S86" s="108" t="str"/>
      <x:c r="T86" s="92"/>
      <x:c r="U86" s="92"/>
      <x:c r="V86" s="92"/>
      <x:c r="W86" s="92"/>
      <x:c r="X86" s="92"/>
      <x:c r="Y86" s="92"/>
      <x:c r="Z86" s="92"/>
    </x:row>
    <x:row r="87" ht="118" customHeight="1">
      <x:c r="A87" s="106" t="str">
        <x:v>SATE-COMP-003</x:v>
      </x:c>
      <x:c r="B87" s="107" t="str">
        <x:v>Compatibility and Deployment</x:v>
      </x:c>
      <x:c r="C87" s="107" t="str">
        <x:v>Older app/firmware version against current backend</x:v>
      </x:c>
      <x:c r="D87" s="107" t="str">
        <x:v>SATE Recorder Firmware; Mobile App; Supabase; Edge Functions</x:v>
      </x:c>
      <x:c r="E87" s="107" t="str">
        <x:v>Backward Compatibility</x:v>
      </x:c>
      <x:c r="F87" s="107" t="str">
        <x:v>P1</x:v>
      </x:c>
      <x:c r="G87" s="107" t="str">
        <x:v>RQ-19</x:v>
      </x:c>
      <x:c r="H87" s="107" t="str">
        <x:v>Verify supported version compatibility and safe rejection of unsupported versions.</x:v>
      </x:c>
      <x:c r="I87" s="107" t="str">
        <x:v>One older supported build and one intentionally unsupported build are available.</x:v>
      </x:c>
      <x:c r="J87" s="107" t="str">
        <x:v>Older recorder firmware/mobile app test devices.</x:v>
      </x:c>
      <x:c r="K87" s="107" t="str">
        <x:v>1. Connect the older supported version and run a session.
2. Attempt the same with an unsupported version.
3. Observe upgrade messaging and backend handling.</x:v>
      </x:c>
      <x:c r="L87" s="107" t="str">
        <x:v>Supported older version works as documented. Unsupported version is blocked or warned before data loss occurs.</x:v>
      </x:c>
      <x:c r="M87" s="107" t="str">
        <x:v>Backend validates schema/version and does not store malformed incompatible records.</x:v>
      </x:c>
      <x:c r="N87" s="107" t="str">
        <x:v>Check app/firmware version metadata, API response, session schema, and upgrade path.</x:v>
      </x:c>
      <x:c r="O87" s="107" t="str">
        <x:v>Version compatibility follows the release policy with no silent corruption.</x:v>
      </x:c>
      <x:c r="P87" s="107" t="str"/>
      <x:c r="Q87" s="107" t="str">
        <x:v>Not Run</x:v>
      </x:c>
      <x:c r="R87" s="107" t="str"/>
      <x:c r="S87" s="108" t="str"/>
      <x:c r="T87" s="92"/>
      <x:c r="U87" s="92"/>
      <x:c r="V87" s="92"/>
      <x:c r="W87" s="92"/>
      <x:c r="X87" s="92"/>
      <x:c r="Y87" s="92"/>
      <x:c r="Z87" s="92"/>
    </x:row>
    <x:row r="88" ht="118" customHeight="1">
      <x:c r="A88" s="106" t="str">
        <x:v>SATE-COMP-004</x:v>
      </x:c>
      <x:c r="B88" s="107" t="str">
        <x:v>Compatibility and Deployment</x:v>
      </x:c>
      <x:c r="C88" s="107" t="str">
        <x:v>Time zone, daylight-saving transition, and device clock skew</x:v>
      </x:c>
      <x:c r="D88" s="107" t="str">
        <x:v>SATE Recorder; Mobile App; Supabase; Web App; PDF</x:v>
      </x:c>
      <x:c r="E88" s="107" t="str">
        <x:v>Compatibility / Data Integrity</x:v>
      </x:c>
      <x:c r="F88" s="107" t="str">
        <x:v>P1</x:v>
      </x:c>
      <x:c r="G88" s="107" t="str">
        <x:v>RQ-19</x:v>
      </x:c>
      <x:c r="H88" s="107" t="str">
        <x:v>Verify canonical time storage and correct display under clock differences.</x:v>
      </x:c>
      <x:c r="I88" s="107" t="str">
        <x:v>Test environment can change time zone/clock or use simulated timestamps.</x:v>
      </x:c>
      <x:c r="J88" s="107" t="str">
        <x:v>Sessions across two time zones; one device clock intentionally skewed; DST boundary simulation if practical.</x:v>
      </x:c>
      <x:c r="K88" s="107" t="str">
        <x:v>1. Record sessions in each time setting.
2. Sync and review Web App/PDF timestamps.
3. Correct device clock and repeat.
4. Compare ordering and duration.</x:v>
      </x:c>
      <x:c r="L88" s="107" t="str">
        <x:v>Displayed local time follows product rules; warning appears for severe clock skew if supported; duration remains correct.</x:v>
      </x:c>
      <x:c r="M88" s="107" t="str">
        <x:v>Canonical server timestamps and device timestamps are distinguishable and do not reorder or mis-associate sessions incorrectly.</x:v>
      </x:c>
      <x:c r="N88" s="107" t="str">
        <x:v>Compare UTC/local timestamps, time-zone field, duration, sort order, and PDF metadata.</x:v>
      </x:c>
      <x:c r="O88" s="107" t="str">
        <x:v>No unexplained one-hour/day shift, negative duration, or incorrect session ordering occurs.</x:v>
      </x:c>
      <x:c r="P88" s="107" t="str"/>
      <x:c r="Q88" s="107" t="str">
        <x:v>Not Run</x:v>
      </x:c>
      <x:c r="R88" s="107" t="str"/>
      <x:c r="S88" s="108" t="str"/>
      <x:c r="T88" s="92"/>
      <x:c r="U88" s="92"/>
      <x:c r="V88" s="92"/>
      <x:c r="W88" s="92"/>
      <x:c r="X88" s="92"/>
      <x:c r="Y88" s="92"/>
      <x:c r="Z88" s="92"/>
    </x:row>
    <x:row r="89" ht="118" customHeight="1">
      <x:c r="A89" s="109" t="str">
        <x:v>SATE-COMP-005</x:v>
      </x:c>
      <x:c r="B89" s="110" t="str">
        <x:v>Compatibility and Deployment</x:v>
      </x:c>
      <x:c r="C89" s="110" t="str">
        <x:v>Low-end device and degraded network performance</x:v>
      </x:c>
      <x:c r="D89" s="110" t="str">
        <x:v>SATE Mobile App; BLE Accessory; Supabase; Web App</x:v>
      </x:c>
      <x:c r="E89" s="110" t="str">
        <x:v>Performance / Compatibility</x:v>
      </x:c>
      <x:c r="F89" s="110" t="str">
        <x:v>P1</x:v>
      </x:c>
      <x:c r="G89" s="110" t="str">
        <x:v>RQ-19,RQ-20</x:v>
      </x:c>
      <x:c r="H89" s="110" t="str">
        <x:v>Verify minimum supported hardware remains usable under realistic constraints.</x:v>
      </x:c>
      <x:c r="I89" s="110" t="str">
        <x:v>Low-end supported phone and throttled/weak network are available.</x:v>
      </x:c>
      <x:c r="J89" s="110" t="str">
        <x:v>10-minute recording; limited memory/storage; high latency and low bandwidth.</x:v>
      </x:c>
      <x:c r="K89" s="110" t="str">
        <x:v>1. Pair device and record.
2. Background/foreground once.
3. Upload over degraded network.
4. Review transcript and export PDF.
5. Capture resource metrics and errors.</x:v>
      </x:c>
      <x:c r="L89" s="110" t="str">
        <x:v>App remains responsive enough to complete the workflow and communicates delays clearly.</x:v>
      </x:c>
      <x:c r="M89" s="110" t="str">
        <x:v>Retries remain bounded; session completes or reaches a clear recoverable state without duplicate jobs.</x:v>
      </x:c>
      <x:c r="N89" s="110" t="str">
        <x:v>Record memory, battery, upload time, crash/ANR logs, session/object counts, and final integrity.</x:v>
      </x:c>
      <x:c r="O89" s="110" t="str">
        <x:v>Minimum supported hardware/network completes the workflow or fails safely within documented limits.</x:v>
      </x:c>
      <x:c r="P89" s="110" t="str"/>
      <x:c r="Q89" s="110" t="str">
        <x:v>Not Run</x:v>
      </x:c>
      <x:c r="R89" s="110" t="str"/>
      <x:c r="S89" s="111" t="str"/>
      <x:c r="T89" s="92"/>
      <x:c r="U89" s="92"/>
      <x:c r="V89" s="92"/>
      <x:c r="W89" s="92"/>
      <x:c r="X89" s="92"/>
      <x:c r="Y89" s="92"/>
      <x:c r="Z89" s="92"/>
    </x:row>
    <x:row r="90">
      <x:c r="A90" s="92"/>
      <x:c r="B90" s="92"/>
      <x:c r="C90" s="92"/>
      <x:c r="D90" s="92"/>
      <x:c r="E90" s="92"/>
      <x:c r="F90" s="92"/>
      <x:c r="G90" s="92"/>
      <x:c r="H90" s="92"/>
      <x:c r="I90" s="92"/>
      <x:c r="J90" s="92"/>
      <x:c r="K90" s="92"/>
      <x:c r="L90" s="92"/>
      <x:c r="M90" s="92"/>
      <x:c r="N90" s="92"/>
      <x:c r="O90" s="92"/>
      <x:c r="P90" s="92"/>
      <x:c r="Q90" s="92"/>
      <x:c r="R90" s="92"/>
      <x:c r="S90" s="92"/>
      <x:c r="T90" s="92"/>
      <x:c r="U90" s="92"/>
      <x:c r="V90" s="92"/>
      <x:c r="W90" s="92"/>
      <x:c r="X90" s="92"/>
      <x:c r="Y90" s="92"/>
      <x:c r="Z90" s="92"/>
    </x:row>
    <x:row r="91">
      <x:c r="A91" s="92"/>
      <x:c r="B91" s="92"/>
      <x:c r="C91" s="92"/>
      <x:c r="D91" s="92"/>
      <x:c r="E91" s="92"/>
      <x:c r="F91" s="92"/>
      <x:c r="G91" s="92"/>
      <x:c r="H91" s="92"/>
      <x:c r="I91" s="92"/>
      <x:c r="J91" s="92"/>
      <x:c r="K91" s="92"/>
      <x:c r="L91" s="92"/>
      <x:c r="M91" s="92"/>
      <x:c r="N91" s="92"/>
      <x:c r="O91" s="92"/>
      <x:c r="P91" s="92"/>
      <x:c r="Q91" s="92"/>
      <x:c r="R91" s="92"/>
      <x:c r="S91" s="92"/>
      <x:c r="T91" s="92"/>
      <x:c r="U91" s="92"/>
      <x:c r="V91" s="92"/>
      <x:c r="W91" s="92"/>
      <x:c r="X91" s="92"/>
      <x:c r="Y91" s="92"/>
      <x:c r="Z91" s="92"/>
    </x:row>
    <x:row r="92">
      <x:c r="A92" s="92"/>
      <x:c r="B92" s="92"/>
      <x:c r="C92" s="92"/>
      <x:c r="D92" s="92"/>
      <x:c r="E92" s="92"/>
      <x:c r="F92" s="92"/>
      <x:c r="G92" s="92"/>
      <x:c r="H92" s="92"/>
      <x:c r="I92" s="92"/>
      <x:c r="J92" s="92"/>
      <x:c r="K92" s="92"/>
      <x:c r="L92" s="92"/>
      <x:c r="M92" s="92"/>
      <x:c r="N92" s="92"/>
      <x:c r="O92" s="92"/>
      <x:c r="P92" s="92"/>
      <x:c r="Q92" s="92"/>
      <x:c r="R92" s="92"/>
      <x:c r="S92" s="92"/>
      <x:c r="T92" s="92"/>
      <x:c r="U92" s="92"/>
      <x:c r="V92" s="92"/>
      <x:c r="W92" s="92"/>
      <x:c r="X92" s="92"/>
      <x:c r="Y92" s="92"/>
      <x:c r="Z92" s="92"/>
    </x:row>
    <x:row r="93">
      <x:c r="A93" s="92"/>
      <x:c r="B93" s="92"/>
      <x:c r="C93" s="92"/>
      <x:c r="D93" s="92"/>
      <x:c r="E93" s="92"/>
      <x:c r="F93" s="92"/>
      <x:c r="G93" s="92"/>
      <x:c r="H93" s="92"/>
      <x:c r="I93" s="92"/>
      <x:c r="J93" s="92"/>
      <x:c r="K93" s="92"/>
      <x:c r="L93" s="92"/>
      <x:c r="M93" s="92"/>
      <x:c r="N93" s="92"/>
      <x:c r="O93" s="92"/>
      <x:c r="P93" s="92"/>
      <x:c r="Q93" s="92"/>
      <x:c r="R93" s="92"/>
      <x:c r="S93" s="92"/>
      <x:c r="T93" s="92"/>
      <x:c r="U93" s="92"/>
      <x:c r="V93" s="92"/>
      <x:c r="W93" s="92"/>
      <x:c r="X93" s="92"/>
      <x:c r="Y93" s="92"/>
      <x:c r="Z93" s="92"/>
    </x:row>
    <x:row r="94">
      <x:c r="A94" s="92"/>
      <x:c r="B94" s="92"/>
      <x:c r="C94" s="92"/>
      <x:c r="D94" s="92"/>
      <x:c r="E94" s="92"/>
      <x:c r="F94" s="92"/>
      <x:c r="G94" s="92"/>
      <x:c r="H94" s="92"/>
      <x:c r="I94" s="92"/>
      <x:c r="J94" s="92"/>
      <x:c r="K94" s="92"/>
      <x:c r="L94" s="92"/>
      <x:c r="M94" s="92"/>
      <x:c r="N94" s="92"/>
      <x:c r="O94" s="92"/>
      <x:c r="P94" s="92"/>
      <x:c r="Q94" s="92"/>
      <x:c r="R94" s="92"/>
      <x:c r="S94" s="92"/>
      <x:c r="T94" s="92"/>
      <x:c r="U94" s="92"/>
      <x:c r="V94" s="92"/>
      <x:c r="W94" s="92"/>
      <x:c r="X94" s="92"/>
      <x:c r="Y94" s="92"/>
      <x:c r="Z94" s="92"/>
    </x:row>
    <x:row r="95">
      <x:c r="A95" s="92"/>
      <x:c r="B95" s="92"/>
      <x:c r="C95" s="92"/>
      <x:c r="D95" s="92"/>
      <x:c r="E95" s="92"/>
      <x:c r="F95" s="92"/>
      <x:c r="G95" s="92"/>
      <x:c r="H95" s="92"/>
      <x:c r="I95" s="92"/>
      <x:c r="J95" s="92"/>
      <x:c r="K95" s="92"/>
      <x:c r="L95" s="92"/>
      <x:c r="M95" s="92"/>
      <x:c r="N95" s="92"/>
      <x:c r="O95" s="92"/>
      <x:c r="P95" s="92"/>
      <x:c r="Q95" s="92"/>
      <x:c r="R95" s="92"/>
      <x:c r="S95" s="92"/>
      <x:c r="T95" s="92"/>
      <x:c r="U95" s="92"/>
      <x:c r="V95" s="92"/>
      <x:c r="W95" s="92"/>
      <x:c r="X95" s="92"/>
      <x:c r="Y95" s="92"/>
      <x:c r="Z95" s="92"/>
    </x:row>
    <x:row r="96">
      <x:c r="A96" s="92"/>
      <x:c r="B96" s="92"/>
      <x:c r="C96" s="92"/>
      <x:c r="D96" s="92"/>
      <x:c r="E96" s="92"/>
      <x:c r="F96" s="92"/>
      <x:c r="G96" s="92"/>
      <x:c r="H96" s="92"/>
      <x:c r="I96" s="92"/>
      <x:c r="J96" s="92"/>
      <x:c r="K96" s="92"/>
      <x:c r="L96" s="92"/>
      <x:c r="M96" s="92"/>
      <x:c r="N96" s="92"/>
      <x:c r="O96" s="92"/>
      <x:c r="P96" s="92"/>
      <x:c r="Q96" s="92"/>
      <x:c r="R96" s="92"/>
      <x:c r="S96" s="92"/>
      <x:c r="T96" s="92"/>
      <x:c r="U96" s="92"/>
      <x:c r="V96" s="92"/>
      <x:c r="W96" s="92"/>
      <x:c r="X96" s="92"/>
      <x:c r="Y96" s="92"/>
      <x:c r="Z96" s="92"/>
    </x:row>
    <x:row r="97">
      <x:c r="A97" s="92"/>
      <x:c r="B97" s="92"/>
      <x:c r="C97" s="92"/>
      <x:c r="D97" s="92"/>
      <x:c r="E97" s="92"/>
      <x:c r="F97" s="92"/>
      <x:c r="G97" s="92"/>
      <x:c r="H97" s="92"/>
      <x:c r="I97" s="92"/>
      <x:c r="J97" s="92"/>
      <x:c r="K97" s="92"/>
      <x:c r="L97" s="92"/>
      <x:c r="M97" s="92"/>
      <x:c r="N97" s="92"/>
      <x:c r="O97" s="92"/>
      <x:c r="P97" s="92"/>
      <x:c r="Q97" s="92"/>
      <x:c r="R97" s="92"/>
      <x:c r="S97" s="92"/>
      <x:c r="T97" s="92"/>
      <x:c r="U97" s="92"/>
      <x:c r="V97" s="92"/>
      <x:c r="W97" s="92"/>
      <x:c r="X97" s="92"/>
      <x:c r="Y97" s="92"/>
      <x:c r="Z97" s="92"/>
    </x:row>
    <x:row r="98">
      <x:c r="A98" s="92"/>
      <x:c r="B98" s="92"/>
      <x:c r="C98" s="92"/>
      <x:c r="D98" s="92"/>
      <x:c r="E98" s="92"/>
      <x:c r="F98" s="92"/>
      <x:c r="G98" s="92"/>
      <x:c r="H98" s="92"/>
      <x:c r="I98" s="92"/>
      <x:c r="J98" s="92"/>
      <x:c r="K98" s="92"/>
      <x:c r="L98" s="92"/>
      <x:c r="M98" s="92"/>
      <x:c r="N98" s="92"/>
      <x:c r="O98" s="92"/>
      <x:c r="P98" s="92"/>
      <x:c r="Q98" s="92"/>
      <x:c r="R98" s="92"/>
      <x:c r="S98" s="92"/>
      <x:c r="T98" s="92"/>
      <x:c r="U98" s="92"/>
      <x:c r="V98" s="92"/>
      <x:c r="W98" s="92"/>
      <x:c r="X98" s="92"/>
      <x:c r="Y98" s="92"/>
      <x:c r="Z98" s="92"/>
    </x:row>
    <x:row r="99">
      <x:c r="A99" s="92"/>
      <x:c r="B99" s="92"/>
      <x:c r="C99" s="92"/>
      <x:c r="D99" s="92"/>
      <x:c r="E99" s="92"/>
      <x:c r="F99" s="92"/>
      <x:c r="G99" s="92"/>
      <x:c r="H99" s="92"/>
      <x:c r="I99" s="92"/>
      <x:c r="J99" s="92"/>
      <x:c r="K99" s="92"/>
      <x:c r="L99" s="92"/>
      <x:c r="M99" s="92"/>
      <x:c r="N99" s="92"/>
      <x:c r="O99" s="92"/>
      <x:c r="P99" s="92"/>
      <x:c r="Q99" s="92"/>
      <x:c r="R99" s="92"/>
      <x:c r="S99" s="92"/>
      <x:c r="T99" s="92"/>
      <x:c r="U99" s="92"/>
      <x:c r="V99" s="92"/>
      <x:c r="W99" s="92"/>
      <x:c r="X99" s="92"/>
      <x:c r="Y99" s="92"/>
      <x:c r="Z99" s="92"/>
    </x:row>
    <x:row r="100">
      <x:c r="A100" s="92"/>
      <x:c r="B100" s="92"/>
      <x:c r="C100" s="92"/>
      <x:c r="D100" s="92"/>
      <x:c r="E100" s="92"/>
      <x:c r="F100" s="92"/>
      <x:c r="G100" s="92"/>
      <x:c r="H100" s="92"/>
      <x:c r="I100" s="92"/>
      <x:c r="J100" s="92"/>
      <x:c r="K100" s="92"/>
      <x:c r="L100" s="92"/>
      <x:c r="M100" s="92"/>
      <x:c r="N100" s="92"/>
      <x:c r="O100" s="92"/>
      <x:c r="P100" s="92"/>
      <x:c r="Q100" s="92"/>
      <x:c r="R100" s="92"/>
      <x:c r="S100" s="92"/>
      <x:c r="T100" s="92"/>
      <x:c r="U100" s="92"/>
      <x:c r="V100" s="92"/>
      <x:c r="W100" s="92"/>
      <x:c r="X100" s="92"/>
      <x:c r="Y100" s="92"/>
      <x:c r="Z100" s="92"/>
    </x:row>
    <x:row r="101">
      <x:c r="A101" s="92"/>
      <x:c r="B101" s="92"/>
      <x:c r="C101" s="92"/>
      <x:c r="D101" s="92"/>
      <x:c r="E101" s="92"/>
      <x:c r="F101" s="92"/>
      <x:c r="G101" s="92"/>
      <x:c r="H101" s="92"/>
      <x:c r="I101" s="92"/>
      <x:c r="J101" s="92"/>
      <x:c r="K101" s="92"/>
      <x:c r="L101" s="92"/>
      <x:c r="M101" s="92"/>
      <x:c r="N101" s="92"/>
      <x:c r="O101" s="92"/>
      <x:c r="P101" s="92"/>
      <x:c r="Q101" s="92"/>
      <x:c r="R101" s="92"/>
      <x:c r="S101" s="92"/>
      <x:c r="T101" s="92"/>
      <x:c r="U101" s="92"/>
      <x:c r="V101" s="92"/>
      <x:c r="W101" s="92"/>
      <x:c r="X101" s="92"/>
      <x:c r="Y101" s="92"/>
      <x:c r="Z101" s="92"/>
    </x:row>
    <x:row r="102">
      <x:c r="A102" s="92"/>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2"/>
      <x:c r="X102" s="92"/>
      <x:c r="Y102" s="92"/>
      <x:c r="Z102" s="92"/>
    </x:row>
    <x:row r="103">
      <x:c r="A103" s="92"/>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2"/>
      <x:c r="X103" s="92"/>
      <x:c r="Y103" s="92"/>
      <x:c r="Z103" s="92"/>
    </x:row>
    <x:row r="104">
      <x:c r="A104" s="92"/>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2"/>
      <x:c r="X104" s="92"/>
      <x:c r="Y104" s="92"/>
      <x:c r="Z104" s="92"/>
    </x:row>
    <x:row r="105">
      <x:c r="A105" s="92"/>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2"/>
      <x:c r="X105" s="92"/>
      <x:c r="Y105" s="92"/>
      <x:c r="Z105" s="92"/>
    </x:row>
    <x:row r="106">
      <x:c r="A106" s="92"/>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2"/>
      <x:c r="X106" s="92"/>
      <x:c r="Y106" s="92"/>
      <x:c r="Z106" s="92"/>
    </x:row>
    <x:row r="107">
      <x:c r="A107" s="92"/>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2"/>
      <x:c r="X107" s="92"/>
      <x:c r="Y107" s="92"/>
      <x:c r="Z107" s="92"/>
    </x:row>
    <x:row r="108">
      <x:c r="A108" s="92"/>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2"/>
      <x:c r="X108" s="92"/>
      <x:c r="Y108" s="92"/>
      <x:c r="Z108" s="92"/>
    </x:row>
    <x:row r="109">
      <x:c r="A109" s="92"/>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2"/>
      <x:c r="X109" s="92"/>
      <x:c r="Y109" s="92"/>
      <x:c r="Z109" s="92"/>
    </x:row>
    <x:row r="110">
      <x:c r="A110" s="92"/>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2"/>
      <x:c r="X110" s="92"/>
      <x:c r="Y110" s="92"/>
      <x:c r="Z110" s="92"/>
    </x:row>
    <x:row r="111">
      <x:c r="A111" s="92"/>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2"/>
      <x:c r="X111" s="92"/>
      <x:c r="Y111" s="92"/>
      <x:c r="Z111" s="92"/>
    </x:row>
    <x:row r="112">
      <x:c r="A112" s="92"/>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2"/>
      <x:c r="X112" s="92"/>
      <x:c r="Y112" s="92"/>
      <x:c r="Z112" s="92"/>
    </x:row>
    <x:row r="113">
      <x:c r="A113" s="92"/>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2"/>
      <x:c r="X113" s="92"/>
      <x:c r="Y113" s="92"/>
      <x:c r="Z113" s="92"/>
    </x:row>
    <x:row r="114">
      <x:c r="A114" s="92"/>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2"/>
      <x:c r="X114" s="92"/>
      <x:c r="Y114" s="92"/>
      <x:c r="Z114" s="92"/>
    </x:row>
    <x:row r="115">
      <x:c r="A115" s="92"/>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2"/>
      <x:c r="X115" s="92"/>
      <x:c r="Y115" s="92"/>
      <x:c r="Z115" s="92"/>
    </x:row>
    <x:row r="116">
      <x:c r="A116" s="92"/>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2"/>
      <x:c r="X116" s="92"/>
      <x:c r="Y116" s="92"/>
      <x:c r="Z116" s="92"/>
    </x:row>
    <x:row r="117">
      <x:c r="A117" s="92"/>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2"/>
      <x:c r="X117" s="92"/>
      <x:c r="Y117" s="92"/>
      <x:c r="Z117" s="92"/>
    </x:row>
    <x:row r="118">
      <x:c r="A118" s="92"/>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2"/>
      <x:c r="X118" s="92"/>
      <x:c r="Y118" s="92"/>
      <x:c r="Z118" s="92"/>
    </x:row>
    <x:row r="119">
      <x:c r="A119" s="92"/>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2"/>
      <x:c r="X119" s="92"/>
      <x:c r="Y119" s="92"/>
      <x:c r="Z119" s="92"/>
    </x:row>
    <x:row r="120">
      <x:c r="A120" s="92"/>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2"/>
      <x:c r="X120" s="92"/>
      <x:c r="Y120" s="92"/>
      <x:c r="Z120" s="92"/>
    </x:row>
    <x:row r="121">
      <x:c r="A121" s="92"/>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2"/>
      <x:c r="X121" s="92"/>
      <x:c r="Y121" s="92"/>
      <x:c r="Z121" s="92"/>
    </x:row>
    <x:row r="122">
      <x:c r="A122" s="92"/>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2"/>
      <x:c r="X122" s="92"/>
      <x:c r="Y122" s="92"/>
      <x:c r="Z122" s="92"/>
    </x:row>
    <x:row r="123">
      <x:c r="A123" s="92"/>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2"/>
      <x:c r="X123" s="92"/>
      <x:c r="Y123" s="92"/>
      <x:c r="Z123" s="92"/>
    </x:row>
    <x:row r="124">
      <x:c r="A124" s="92"/>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2"/>
      <x:c r="X124" s="92"/>
      <x:c r="Y124" s="92"/>
      <x:c r="Z124" s="92"/>
    </x:row>
    <x:row r="125">
      <x:c r="A125" s="92"/>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2"/>
      <x:c r="X125" s="92"/>
      <x:c r="Y125" s="92"/>
      <x:c r="Z125" s="92"/>
    </x:row>
    <x:row r="126">
      <x:c r="A126" s="92"/>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2"/>
      <x:c r="X126" s="92"/>
      <x:c r="Y126" s="92"/>
      <x:c r="Z126" s="92"/>
    </x:row>
    <x:row r="127">
      <x:c r="A127" s="92"/>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2"/>
      <x:c r="X127" s="92"/>
      <x:c r="Y127" s="92"/>
      <x:c r="Z127" s="92"/>
    </x:row>
    <x:row r="128">
      <x:c r="A128" s="92"/>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2"/>
      <x:c r="X128" s="92"/>
      <x:c r="Y128" s="92"/>
      <x:c r="Z128" s="92"/>
    </x:row>
    <x:row r="129">
      <x:c r="A129" s="92"/>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2"/>
      <x:c r="X129" s="92"/>
      <x:c r="Y129" s="92"/>
      <x:c r="Z129" s="92"/>
    </x:row>
    <x:row r="130">
      <x:c r="A130" s="92"/>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2"/>
      <x:c r="X130" s="92"/>
      <x:c r="Y130" s="92"/>
      <x:c r="Z130" s="92"/>
    </x:row>
    <x:row r="131">
      <x:c r="A131" s="92"/>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2"/>
      <x:c r="X131" s="92"/>
      <x:c r="Y131" s="92"/>
      <x:c r="Z131" s="92"/>
    </x:row>
    <x:row r="132">
      <x:c r="A132" s="92"/>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2"/>
      <x:c r="X132" s="92"/>
      <x:c r="Y132" s="92"/>
      <x:c r="Z132" s="92"/>
    </x:row>
    <x:row r="133">
      <x:c r="A133" s="92"/>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2"/>
      <x:c r="X133" s="92"/>
      <x:c r="Y133" s="92"/>
      <x:c r="Z133" s="92"/>
    </x:row>
    <x:row r="134">
      <x:c r="A134" s="92"/>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2"/>
      <x:c r="X134" s="92"/>
      <x:c r="Y134" s="92"/>
      <x:c r="Z134" s="92"/>
    </x:row>
    <x:row r="135">
      <x:c r="A135" s="92"/>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2"/>
      <x:c r="X135" s="92"/>
      <x:c r="Y135" s="92"/>
      <x:c r="Z135" s="92"/>
    </x:row>
    <x:row r="136">
      <x:c r="A136" s="92"/>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2"/>
      <x:c r="X136" s="92"/>
      <x:c r="Y136" s="92"/>
      <x:c r="Z136" s="92"/>
    </x:row>
    <x:row r="137">
      <x:c r="A137" s="92"/>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2"/>
      <x:c r="X137" s="92"/>
      <x:c r="Y137" s="92"/>
      <x:c r="Z137" s="92"/>
    </x:row>
    <x:row r="138">
      <x:c r="A138" s="92"/>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2"/>
      <x:c r="X138" s="92"/>
      <x:c r="Y138" s="92"/>
      <x:c r="Z138" s="92"/>
    </x:row>
    <x:row r="139">
      <x:c r="A139" s="92"/>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2"/>
      <x:c r="X139" s="92"/>
      <x:c r="Y139" s="92"/>
      <x:c r="Z139" s="92"/>
    </x:row>
    <x:row r="140">
      <x:c r="A140" s="92"/>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2"/>
      <x:c r="X140" s="92"/>
      <x:c r="Y140" s="92"/>
      <x:c r="Z140" s="92"/>
    </x:row>
    <x:row r="141">
      <x:c r="A141" s="92"/>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2"/>
      <x:c r="X141" s="92"/>
      <x:c r="Y141" s="92"/>
      <x:c r="Z141" s="92"/>
    </x:row>
    <x:row r="142">
      <x:c r="A142" s="92"/>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2"/>
      <x:c r="X142" s="92"/>
      <x:c r="Y142" s="92"/>
      <x:c r="Z142" s="92"/>
    </x:row>
    <x:row r="143">
      <x:c r="A143" s="92"/>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2"/>
      <x:c r="X143" s="92"/>
      <x:c r="Y143" s="92"/>
      <x:c r="Z143" s="92"/>
    </x:row>
    <x:row r="144">
      <x:c r="A144" s="92"/>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2"/>
      <x:c r="X144" s="92"/>
      <x:c r="Y144" s="92"/>
      <x:c r="Z144" s="92"/>
    </x:row>
    <x:row r="145">
      <x:c r="A145" s="92"/>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2"/>
      <x:c r="X145" s="92"/>
      <x:c r="Y145" s="92"/>
      <x:c r="Z145" s="92"/>
    </x:row>
    <x:row r="146">
      <x:c r="A146" s="92"/>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2"/>
      <x:c r="X146" s="92"/>
      <x:c r="Y146" s="92"/>
      <x:c r="Z146" s="92"/>
    </x:row>
    <x:row r="147">
      <x:c r="A147" s="92"/>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2"/>
      <x:c r="X147" s="92"/>
      <x:c r="Y147" s="92"/>
      <x:c r="Z147" s="92"/>
    </x:row>
    <x:row r="148">
      <x:c r="A148" s="92"/>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2"/>
      <x:c r="X148" s="92"/>
      <x:c r="Y148" s="92"/>
      <x:c r="Z148" s="92"/>
    </x:row>
    <x:row r="149">
      <x:c r="A149" s="92"/>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2"/>
      <x:c r="X149" s="92"/>
      <x:c r="Y149" s="92"/>
      <x:c r="Z149" s="92"/>
    </x:row>
    <x:row r="150">
      <x:c r="A150" s="92"/>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2"/>
      <x:c r="X150" s="92"/>
      <x:c r="Y150" s="92"/>
      <x:c r="Z150" s="92"/>
    </x:row>
    <x:row r="151">
      <x:c r="A151" s="92"/>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2"/>
      <x:c r="X151" s="92"/>
      <x:c r="Y151" s="92"/>
      <x:c r="Z151" s="92"/>
    </x:row>
    <x:row r="152">
      <x:c r="A152" s="92"/>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2"/>
      <x:c r="X152" s="92"/>
      <x:c r="Y152" s="92"/>
      <x:c r="Z152" s="92"/>
    </x:row>
    <x:row r="153">
      <x:c r="A153" s="92"/>
      <x:c r="B153" s="92"/>
      <x:c r="C153" s="92"/>
      <x:c r="D153" s="92"/>
      <x:c r="E153" s="92"/>
      <x:c r="F153" s="92"/>
      <x:c r="G153" s="92"/>
      <x:c r="H153" s="92"/>
      <x:c r="I153" s="92"/>
      <x:c r="J153" s="92"/>
      <x:c r="K153" s="92"/>
      <x:c r="L153" s="92"/>
      <x:c r="M153" s="92"/>
      <x:c r="N153" s="92"/>
      <x:c r="O153" s="92"/>
      <x:c r="P153" s="92"/>
      <x:c r="Q153" s="92"/>
      <x:c r="R153" s="92"/>
      <x:c r="S153" s="92"/>
      <x:c r="T153" s="92"/>
      <x:c r="U153" s="92"/>
      <x:c r="V153" s="92"/>
      <x:c r="W153" s="92"/>
      <x:c r="X153" s="92"/>
      <x:c r="Y153" s="92"/>
      <x:c r="Z153" s="92"/>
    </x:row>
    <x:row r="154">
      <x:c r="A154" s="92"/>
      <x:c r="B154" s="92"/>
      <x:c r="C154" s="92"/>
      <x:c r="D154" s="92"/>
      <x:c r="E154" s="92"/>
      <x:c r="F154" s="92"/>
      <x:c r="G154" s="92"/>
      <x:c r="H154" s="92"/>
      <x:c r="I154" s="92"/>
      <x:c r="J154" s="92"/>
      <x:c r="K154" s="92"/>
      <x:c r="L154" s="92"/>
      <x:c r="M154" s="92"/>
      <x:c r="N154" s="92"/>
      <x:c r="O154" s="92"/>
      <x:c r="P154" s="92"/>
      <x:c r="Q154" s="92"/>
      <x:c r="R154" s="92"/>
      <x:c r="S154" s="92"/>
      <x:c r="T154" s="92"/>
      <x:c r="U154" s="92"/>
      <x:c r="V154" s="92"/>
      <x:c r="W154" s="92"/>
      <x:c r="X154" s="92"/>
      <x:c r="Y154" s="92"/>
      <x:c r="Z154" s="92"/>
    </x:row>
    <x:row r="155">
      <x:c r="A155" s="92"/>
      <x:c r="B155" s="92"/>
      <x:c r="C155" s="92"/>
      <x:c r="D155" s="92"/>
      <x:c r="E155" s="92"/>
      <x:c r="F155" s="92"/>
      <x:c r="G155" s="92"/>
      <x:c r="H155" s="92"/>
      <x:c r="I155" s="92"/>
      <x:c r="J155" s="92"/>
      <x:c r="K155" s="92"/>
      <x:c r="L155" s="92"/>
      <x:c r="M155" s="92"/>
      <x:c r="N155" s="92"/>
      <x:c r="O155" s="92"/>
      <x:c r="P155" s="92"/>
      <x:c r="Q155" s="92"/>
      <x:c r="R155" s="92"/>
      <x:c r="S155" s="92"/>
      <x:c r="T155" s="92"/>
      <x:c r="U155" s="92"/>
      <x:c r="V155" s="92"/>
      <x:c r="W155" s="92"/>
      <x:c r="X155" s="92"/>
      <x:c r="Y155" s="92"/>
      <x:c r="Z155" s="92"/>
    </x:row>
    <x:row r="156">
      <x:c r="A156" s="92"/>
      <x:c r="B156" s="92"/>
      <x:c r="C156" s="92"/>
      <x:c r="D156" s="92"/>
      <x:c r="E156" s="92"/>
      <x:c r="F156" s="92"/>
      <x:c r="G156" s="92"/>
      <x:c r="H156" s="92"/>
      <x:c r="I156" s="92"/>
      <x:c r="J156" s="92"/>
      <x:c r="K156" s="92"/>
      <x:c r="L156" s="92"/>
      <x:c r="M156" s="92"/>
      <x:c r="N156" s="92"/>
      <x:c r="O156" s="92"/>
      <x:c r="P156" s="92"/>
      <x:c r="Q156" s="92"/>
      <x:c r="R156" s="92"/>
      <x:c r="S156" s="92"/>
      <x:c r="T156" s="92"/>
      <x:c r="U156" s="92"/>
      <x:c r="V156" s="92"/>
      <x:c r="W156" s="92"/>
      <x:c r="X156" s="92"/>
      <x:c r="Y156" s="92"/>
      <x:c r="Z156" s="92"/>
    </x:row>
    <x:row r="157">
      <x:c r="A157" s="92"/>
      <x:c r="B157" s="92"/>
      <x:c r="C157" s="92"/>
      <x:c r="D157" s="92"/>
      <x:c r="E157" s="92"/>
      <x:c r="F157" s="92"/>
      <x:c r="G157" s="92"/>
      <x:c r="H157" s="92"/>
      <x:c r="I157" s="92"/>
      <x:c r="J157" s="92"/>
      <x:c r="K157" s="92"/>
      <x:c r="L157" s="92"/>
      <x:c r="M157" s="92"/>
      <x:c r="N157" s="92"/>
      <x:c r="O157" s="92"/>
      <x:c r="P157" s="92"/>
      <x:c r="Q157" s="92"/>
      <x:c r="R157" s="92"/>
      <x:c r="S157" s="92"/>
      <x:c r="T157" s="92"/>
      <x:c r="U157" s="92"/>
      <x:c r="V157" s="92"/>
      <x:c r="W157" s="92"/>
      <x:c r="X157" s="92"/>
      <x:c r="Y157" s="92"/>
      <x:c r="Z157" s="92"/>
    </x:row>
    <x:row r="158">
      <x:c r="A158" s="92"/>
      <x:c r="B158" s="92"/>
      <x:c r="C158" s="92"/>
      <x:c r="D158" s="92"/>
      <x:c r="E158" s="92"/>
      <x:c r="F158" s="92"/>
      <x:c r="G158" s="92"/>
      <x:c r="H158" s="92"/>
      <x:c r="I158" s="92"/>
      <x:c r="J158" s="92"/>
      <x:c r="K158" s="92"/>
      <x:c r="L158" s="92"/>
      <x:c r="M158" s="92"/>
      <x:c r="N158" s="92"/>
      <x:c r="O158" s="92"/>
      <x:c r="P158" s="92"/>
      <x:c r="Q158" s="92"/>
      <x:c r="R158" s="92"/>
      <x:c r="S158" s="92"/>
      <x:c r="T158" s="92"/>
      <x:c r="U158" s="92"/>
      <x:c r="V158" s="92"/>
      <x:c r="W158" s="92"/>
      <x:c r="X158" s="92"/>
      <x:c r="Y158" s="92"/>
      <x:c r="Z158" s="92"/>
    </x:row>
    <x:row r="159">
      <x:c r="A159" s="92"/>
      <x:c r="B159" s="92"/>
      <x:c r="C159" s="92"/>
      <x:c r="D159" s="92"/>
      <x:c r="E159" s="92"/>
      <x:c r="F159" s="92"/>
      <x:c r="G159" s="92"/>
      <x:c r="H159" s="92"/>
      <x:c r="I159" s="92"/>
      <x:c r="J159" s="92"/>
      <x:c r="K159" s="92"/>
      <x:c r="L159" s="92"/>
      <x:c r="M159" s="92"/>
      <x:c r="N159" s="92"/>
      <x:c r="O159" s="92"/>
      <x:c r="P159" s="92"/>
      <x:c r="Q159" s="92"/>
      <x:c r="R159" s="92"/>
      <x:c r="S159" s="92"/>
      <x:c r="T159" s="92"/>
      <x:c r="U159" s="92"/>
      <x:c r="V159" s="92"/>
      <x:c r="W159" s="92"/>
      <x:c r="X159" s="92"/>
      <x:c r="Y159" s="92"/>
      <x:c r="Z159" s="92"/>
    </x:row>
    <x:row r="160">
      <x:c r="A160" s="92"/>
      <x:c r="B160" s="92"/>
      <x:c r="C160" s="92"/>
      <x:c r="D160" s="92"/>
      <x:c r="E160" s="92"/>
      <x:c r="F160" s="92"/>
      <x:c r="G160" s="92"/>
      <x:c r="H160" s="92"/>
      <x:c r="I160" s="92"/>
      <x:c r="J160" s="92"/>
      <x:c r="K160" s="92"/>
      <x:c r="L160" s="92"/>
      <x:c r="M160" s="92"/>
      <x:c r="N160" s="92"/>
      <x:c r="O160" s="92"/>
      <x:c r="P160" s="92"/>
      <x:c r="Q160" s="92"/>
      <x:c r="R160" s="92"/>
      <x:c r="S160" s="92"/>
      <x:c r="T160" s="92"/>
      <x:c r="U160" s="92"/>
      <x:c r="V160" s="92"/>
      <x:c r="W160" s="92"/>
      <x:c r="X160" s="92"/>
      <x:c r="Y160" s="92"/>
      <x:c r="Z160" s="92"/>
    </x:row>
    <x:row r="161">
      <x:c r="A161" s="92"/>
      <x:c r="B161" s="92"/>
      <x:c r="C161" s="92"/>
      <x:c r="D161" s="92"/>
      <x:c r="E161" s="92"/>
      <x:c r="F161" s="92"/>
      <x:c r="G161" s="92"/>
      <x:c r="H161" s="92"/>
      <x:c r="I161" s="92"/>
      <x:c r="J161" s="92"/>
      <x:c r="K161" s="92"/>
      <x:c r="L161" s="92"/>
      <x:c r="M161" s="92"/>
      <x:c r="N161" s="92"/>
      <x:c r="O161" s="92"/>
      <x:c r="P161" s="92"/>
      <x:c r="Q161" s="92"/>
      <x:c r="R161" s="92"/>
      <x:c r="S161" s="92"/>
      <x:c r="T161" s="92"/>
      <x:c r="U161" s="92"/>
      <x:c r="V161" s="92"/>
      <x:c r="W161" s="92"/>
      <x:c r="X161" s="92"/>
      <x:c r="Y161" s="92"/>
      <x:c r="Z161" s="92"/>
    </x:row>
    <x:row r="162">
      <x:c r="A162" s="92"/>
      <x:c r="B162" s="92"/>
      <x:c r="C162" s="92"/>
      <x:c r="D162" s="92"/>
      <x:c r="E162" s="92"/>
      <x:c r="F162" s="92"/>
      <x:c r="G162" s="92"/>
      <x:c r="H162" s="92"/>
      <x:c r="I162" s="92"/>
      <x:c r="J162" s="92"/>
      <x:c r="K162" s="92"/>
      <x:c r="L162" s="92"/>
      <x:c r="M162" s="92"/>
      <x:c r="N162" s="92"/>
      <x:c r="O162" s="92"/>
      <x:c r="P162" s="92"/>
      <x:c r="Q162" s="92"/>
      <x:c r="R162" s="92"/>
      <x:c r="S162" s="92"/>
      <x:c r="T162" s="92"/>
      <x:c r="U162" s="92"/>
      <x:c r="V162" s="92"/>
      <x:c r="W162" s="92"/>
      <x:c r="X162" s="92"/>
      <x:c r="Y162" s="92"/>
      <x:c r="Z162" s="92"/>
    </x:row>
    <x:row r="163">
      <x:c r="A163" s="92"/>
      <x:c r="B163" s="92"/>
      <x:c r="C163" s="92"/>
      <x:c r="D163" s="92"/>
      <x:c r="E163" s="92"/>
      <x:c r="F163" s="92"/>
      <x:c r="G163" s="92"/>
      <x:c r="H163" s="92"/>
      <x:c r="I163" s="92"/>
      <x:c r="J163" s="92"/>
      <x:c r="K163" s="92"/>
      <x:c r="L163" s="92"/>
      <x:c r="M163" s="92"/>
      <x:c r="N163" s="92"/>
      <x:c r="O163" s="92"/>
      <x:c r="P163" s="92"/>
      <x:c r="Q163" s="92"/>
      <x:c r="R163" s="92"/>
      <x:c r="S163" s="92"/>
      <x:c r="T163" s="92"/>
      <x:c r="U163" s="92"/>
      <x:c r="V163" s="92"/>
      <x:c r="W163" s="92"/>
      <x:c r="X163" s="92"/>
      <x:c r="Y163" s="92"/>
      <x:c r="Z163" s="92"/>
    </x:row>
    <x:row r="164">
      <x:c r="A164" s="92"/>
      <x:c r="B164" s="92"/>
      <x:c r="C164" s="92"/>
      <x:c r="D164" s="92"/>
      <x:c r="E164" s="92"/>
      <x:c r="F164" s="92"/>
      <x:c r="G164" s="92"/>
      <x:c r="H164" s="92"/>
      <x:c r="I164" s="92"/>
      <x:c r="J164" s="92"/>
      <x:c r="K164" s="92"/>
      <x:c r="L164" s="92"/>
      <x:c r="M164" s="92"/>
      <x:c r="N164" s="92"/>
      <x:c r="O164" s="92"/>
      <x:c r="P164" s="92"/>
      <x:c r="Q164" s="92"/>
      <x:c r="R164" s="92"/>
      <x:c r="S164" s="92"/>
      <x:c r="T164" s="92"/>
      <x:c r="U164" s="92"/>
      <x:c r="V164" s="92"/>
      <x:c r="W164" s="92"/>
      <x:c r="X164" s="92"/>
      <x:c r="Y164" s="92"/>
      <x:c r="Z164" s="92"/>
    </x:row>
    <x:row r="165">
      <x:c r="A165" s="92"/>
      <x:c r="B165" s="92"/>
      <x:c r="C165" s="92"/>
      <x:c r="D165" s="92"/>
      <x:c r="E165" s="92"/>
      <x:c r="F165" s="92"/>
      <x:c r="G165" s="92"/>
      <x:c r="H165" s="92"/>
      <x:c r="I165" s="92"/>
      <x:c r="J165" s="92"/>
      <x:c r="K165" s="92"/>
      <x:c r="L165" s="92"/>
      <x:c r="M165" s="92"/>
      <x:c r="N165" s="92"/>
      <x:c r="O165" s="92"/>
      <x:c r="P165" s="92"/>
      <x:c r="Q165" s="92"/>
      <x:c r="R165" s="92"/>
      <x:c r="S165" s="92"/>
      <x:c r="T165" s="92"/>
      <x:c r="U165" s="92"/>
      <x:c r="V165" s="92"/>
      <x:c r="W165" s="92"/>
      <x:c r="X165" s="92"/>
      <x:c r="Y165" s="92"/>
      <x:c r="Z165" s="92"/>
    </x:row>
    <x:row r="166">
      <x:c r="A166" s="92"/>
      <x:c r="B166" s="92"/>
      <x:c r="C166" s="92"/>
      <x:c r="D166" s="92"/>
      <x:c r="E166" s="92"/>
      <x:c r="F166" s="92"/>
      <x:c r="G166" s="92"/>
      <x:c r="H166" s="92"/>
      <x:c r="I166" s="92"/>
      <x:c r="J166" s="92"/>
      <x:c r="K166" s="92"/>
      <x:c r="L166" s="92"/>
      <x:c r="M166" s="92"/>
      <x:c r="N166" s="92"/>
      <x:c r="O166" s="92"/>
      <x:c r="P166" s="92"/>
      <x:c r="Q166" s="92"/>
      <x:c r="R166" s="92"/>
      <x:c r="S166" s="92"/>
      <x:c r="T166" s="92"/>
      <x:c r="U166" s="92"/>
      <x:c r="V166" s="92"/>
      <x:c r="W166" s="92"/>
      <x:c r="X166" s="92"/>
      <x:c r="Y166" s="92"/>
      <x:c r="Z166" s="92"/>
    </x:row>
    <x:row r="167">
      <x:c r="A167" s="92"/>
      <x:c r="B167" s="92"/>
      <x:c r="C167" s="92"/>
      <x:c r="D167" s="92"/>
      <x:c r="E167" s="92"/>
      <x:c r="F167" s="92"/>
      <x:c r="G167" s="92"/>
      <x:c r="H167" s="92"/>
      <x:c r="I167" s="92"/>
      <x:c r="J167" s="92"/>
      <x:c r="K167" s="92"/>
      <x:c r="L167" s="92"/>
      <x:c r="M167" s="92"/>
      <x:c r="N167" s="92"/>
      <x:c r="O167" s="92"/>
      <x:c r="P167" s="92"/>
      <x:c r="Q167" s="92"/>
      <x:c r="R167" s="92"/>
      <x:c r="S167" s="92"/>
      <x:c r="T167" s="92"/>
      <x:c r="U167" s="92"/>
      <x:c r="V167" s="92"/>
      <x:c r="W167" s="92"/>
      <x:c r="X167" s="92"/>
      <x:c r="Y167" s="92"/>
      <x:c r="Z167" s="92"/>
    </x:row>
    <x:row r="168">
      <x:c r="A168" s="92"/>
      <x:c r="B168" s="92"/>
      <x:c r="C168" s="92"/>
      <x:c r="D168" s="92"/>
      <x:c r="E168" s="92"/>
      <x:c r="F168" s="92"/>
      <x:c r="G168" s="92"/>
      <x:c r="H168" s="92"/>
      <x:c r="I168" s="92"/>
      <x:c r="J168" s="92"/>
      <x:c r="K168" s="92"/>
      <x:c r="L168" s="92"/>
      <x:c r="M168" s="92"/>
      <x:c r="N168" s="92"/>
      <x:c r="O168" s="92"/>
      <x:c r="P168" s="92"/>
      <x:c r="Q168" s="92"/>
      <x:c r="R168" s="92"/>
      <x:c r="S168" s="92"/>
      <x:c r="T168" s="92"/>
      <x:c r="U168" s="92"/>
      <x:c r="V168" s="92"/>
      <x:c r="W168" s="92"/>
      <x:c r="X168" s="92"/>
      <x:c r="Y168" s="92"/>
      <x:c r="Z168" s="92"/>
    </x:row>
    <x:row r="169">
      <x:c r="A169" s="92"/>
      <x:c r="B169" s="92"/>
      <x:c r="C169" s="92"/>
      <x:c r="D169" s="92"/>
      <x:c r="E169" s="92"/>
      <x:c r="F169" s="92"/>
      <x:c r="G169" s="92"/>
      <x:c r="H169" s="92"/>
      <x:c r="I169" s="92"/>
      <x:c r="J169" s="92"/>
      <x:c r="K169" s="92"/>
      <x:c r="L169" s="92"/>
      <x:c r="M169" s="92"/>
      <x:c r="N169" s="92"/>
      <x:c r="O169" s="92"/>
      <x:c r="P169" s="92"/>
      <x:c r="Q169" s="92"/>
      <x:c r="R169" s="92"/>
      <x:c r="S169" s="92"/>
      <x:c r="T169" s="92"/>
      <x:c r="U169" s="92"/>
      <x:c r="V169" s="92"/>
      <x:c r="W169" s="92"/>
      <x:c r="X169" s="92"/>
      <x:c r="Y169" s="92"/>
      <x:c r="Z169" s="92"/>
    </x:row>
    <x:row r="170">
      <x:c r="A170" s="92"/>
      <x:c r="B170" s="92"/>
      <x:c r="C170" s="92"/>
      <x:c r="D170" s="92"/>
      <x:c r="E170" s="92"/>
      <x:c r="F170" s="92"/>
      <x:c r="G170" s="92"/>
      <x:c r="H170" s="92"/>
      <x:c r="I170" s="92"/>
      <x:c r="J170" s="92"/>
      <x:c r="K170" s="92"/>
      <x:c r="L170" s="92"/>
      <x:c r="M170" s="92"/>
      <x:c r="N170" s="92"/>
      <x:c r="O170" s="92"/>
      <x:c r="P170" s="92"/>
      <x:c r="Q170" s="92"/>
      <x:c r="R170" s="92"/>
      <x:c r="S170" s="92"/>
      <x:c r="T170" s="92"/>
      <x:c r="U170" s="92"/>
      <x:c r="V170" s="92"/>
      <x:c r="W170" s="92"/>
      <x:c r="X170" s="92"/>
      <x:c r="Y170" s="92"/>
      <x:c r="Z170" s="92"/>
    </x:row>
    <x:row r="171">
      <x:c r="A171" s="92"/>
      <x:c r="B171" s="92"/>
      <x:c r="C171" s="92"/>
      <x:c r="D171" s="92"/>
      <x:c r="E171" s="92"/>
      <x:c r="F171" s="92"/>
      <x:c r="G171" s="92"/>
      <x:c r="H171" s="92"/>
      <x:c r="I171" s="92"/>
      <x:c r="J171" s="92"/>
      <x:c r="K171" s="92"/>
      <x:c r="L171" s="92"/>
      <x:c r="M171" s="92"/>
      <x:c r="N171" s="92"/>
      <x:c r="O171" s="92"/>
      <x:c r="P171" s="92"/>
      <x:c r="Q171" s="92"/>
      <x:c r="R171" s="92"/>
      <x:c r="S171" s="92"/>
      <x:c r="T171" s="92"/>
      <x:c r="U171" s="92"/>
      <x:c r="V171" s="92"/>
      <x:c r="W171" s="92"/>
      <x:c r="X171" s="92"/>
      <x:c r="Y171" s="92"/>
      <x:c r="Z171" s="92"/>
    </x:row>
    <x:row r="172">
      <x:c r="A172" s="92"/>
      <x:c r="B172" s="92"/>
      <x:c r="C172" s="92"/>
      <x:c r="D172" s="92"/>
      <x:c r="E172" s="92"/>
      <x:c r="F172" s="92"/>
      <x:c r="G172" s="92"/>
      <x:c r="H172" s="92"/>
      <x:c r="I172" s="92"/>
      <x:c r="J172" s="92"/>
      <x:c r="K172" s="92"/>
      <x:c r="L172" s="92"/>
      <x:c r="M172" s="92"/>
      <x:c r="N172" s="92"/>
      <x:c r="O172" s="92"/>
      <x:c r="P172" s="92"/>
      <x:c r="Q172" s="92"/>
      <x:c r="R172" s="92"/>
      <x:c r="S172" s="92"/>
      <x:c r="T172" s="92"/>
      <x:c r="U172" s="92"/>
      <x:c r="V172" s="92"/>
      <x:c r="W172" s="92"/>
      <x:c r="X172" s="92"/>
      <x:c r="Y172" s="92"/>
      <x:c r="Z172" s="92"/>
    </x:row>
    <x:row r="173">
      <x:c r="A173" s="92"/>
      <x:c r="B173" s="92"/>
      <x:c r="C173" s="92"/>
      <x:c r="D173" s="92"/>
      <x:c r="E173" s="92"/>
      <x:c r="F173" s="92"/>
      <x:c r="G173" s="92"/>
      <x:c r="H173" s="92"/>
      <x:c r="I173" s="92"/>
      <x:c r="J173" s="92"/>
      <x:c r="K173" s="92"/>
      <x:c r="L173" s="92"/>
      <x:c r="M173" s="92"/>
      <x:c r="N173" s="92"/>
      <x:c r="O173" s="92"/>
      <x:c r="P173" s="92"/>
      <x:c r="Q173" s="92"/>
      <x:c r="R173" s="92"/>
      <x:c r="S173" s="92"/>
      <x:c r="T173" s="92"/>
      <x:c r="U173" s="92"/>
      <x:c r="V173" s="92"/>
      <x:c r="W173" s="92"/>
      <x:c r="X173" s="92"/>
      <x:c r="Y173" s="92"/>
      <x:c r="Z173" s="92"/>
    </x:row>
    <x:row r="174">
      <x:c r="A174" s="92"/>
      <x:c r="B174" s="92"/>
      <x:c r="C174" s="92"/>
      <x:c r="D174" s="92"/>
      <x:c r="E174" s="92"/>
      <x:c r="F174" s="92"/>
      <x:c r="G174" s="92"/>
      <x:c r="H174" s="92"/>
      <x:c r="I174" s="92"/>
      <x:c r="J174" s="92"/>
      <x:c r="K174" s="92"/>
      <x:c r="L174" s="92"/>
      <x:c r="M174" s="92"/>
      <x:c r="N174" s="92"/>
      <x:c r="O174" s="92"/>
      <x:c r="P174" s="92"/>
      <x:c r="Q174" s="92"/>
      <x:c r="R174" s="92"/>
      <x:c r="S174" s="92"/>
      <x:c r="T174" s="92"/>
      <x:c r="U174" s="92"/>
      <x:c r="V174" s="92"/>
      <x:c r="W174" s="92"/>
      <x:c r="X174" s="92"/>
      <x:c r="Y174" s="92"/>
      <x:c r="Z174" s="92"/>
    </x:row>
    <x:row r="175">
      <x:c r="A175" s="92"/>
      <x:c r="B175" s="92"/>
      <x:c r="C175" s="92"/>
      <x:c r="D175" s="92"/>
      <x:c r="E175" s="92"/>
      <x:c r="F175" s="92"/>
      <x:c r="G175" s="92"/>
      <x:c r="H175" s="92"/>
      <x:c r="I175" s="92"/>
      <x:c r="J175" s="92"/>
      <x:c r="K175" s="92"/>
      <x:c r="L175" s="92"/>
      <x:c r="M175" s="92"/>
      <x:c r="N175" s="92"/>
      <x:c r="O175" s="92"/>
      <x:c r="P175" s="92"/>
      <x:c r="Q175" s="92"/>
      <x:c r="R175" s="92"/>
      <x:c r="S175" s="92"/>
      <x:c r="T175" s="92"/>
      <x:c r="U175" s="92"/>
      <x:c r="V175" s="92"/>
      <x:c r="W175" s="92"/>
      <x:c r="X175" s="92"/>
      <x:c r="Y175" s="92"/>
      <x:c r="Z175" s="92"/>
    </x:row>
    <x:row r="176">
      <x:c r="A176" s="92"/>
      <x:c r="B176" s="92"/>
      <x:c r="C176" s="92"/>
      <x:c r="D176" s="92"/>
      <x:c r="E176" s="92"/>
      <x:c r="F176" s="92"/>
      <x:c r="G176" s="92"/>
      <x:c r="H176" s="92"/>
      <x:c r="I176" s="92"/>
      <x:c r="J176" s="92"/>
      <x:c r="K176" s="92"/>
      <x:c r="L176" s="92"/>
      <x:c r="M176" s="92"/>
      <x:c r="N176" s="92"/>
      <x:c r="O176" s="92"/>
      <x:c r="P176" s="92"/>
      <x:c r="Q176" s="92"/>
      <x:c r="R176" s="92"/>
      <x:c r="S176" s="92"/>
      <x:c r="T176" s="92"/>
      <x:c r="U176" s="92"/>
      <x:c r="V176" s="92"/>
      <x:c r="W176" s="92"/>
      <x:c r="X176" s="92"/>
      <x:c r="Y176" s="92"/>
      <x:c r="Z176" s="92"/>
    </x:row>
    <x:row r="177">
      <x:c r="A177" s="92"/>
      <x:c r="B177" s="92"/>
      <x:c r="C177" s="92"/>
      <x:c r="D177" s="92"/>
      <x:c r="E177" s="92"/>
      <x:c r="F177" s="92"/>
      <x:c r="G177" s="92"/>
      <x:c r="H177" s="92"/>
      <x:c r="I177" s="92"/>
      <x:c r="J177" s="92"/>
      <x:c r="K177" s="92"/>
      <x:c r="L177" s="92"/>
      <x:c r="M177" s="92"/>
      <x:c r="N177" s="92"/>
      <x:c r="O177" s="92"/>
      <x:c r="P177" s="92"/>
      <x:c r="Q177" s="92"/>
      <x:c r="R177" s="92"/>
      <x:c r="S177" s="92"/>
      <x:c r="T177" s="92"/>
      <x:c r="U177" s="92"/>
      <x:c r="V177" s="92"/>
      <x:c r="W177" s="92"/>
      <x:c r="X177" s="92"/>
      <x:c r="Y177" s="92"/>
      <x:c r="Z177" s="92"/>
    </x:row>
    <x:row r="178">
      <x:c r="A178" s="92"/>
      <x:c r="B178" s="92"/>
      <x:c r="C178" s="92"/>
      <x:c r="D178" s="92"/>
      <x:c r="E178" s="92"/>
      <x:c r="F178" s="92"/>
      <x:c r="G178" s="92"/>
      <x:c r="H178" s="92"/>
      <x:c r="I178" s="92"/>
      <x:c r="J178" s="92"/>
      <x:c r="K178" s="92"/>
      <x:c r="L178" s="92"/>
      <x:c r="M178" s="92"/>
      <x:c r="N178" s="92"/>
      <x:c r="O178" s="92"/>
      <x:c r="P178" s="92"/>
      <x:c r="Q178" s="92"/>
      <x:c r="R178" s="92"/>
      <x:c r="S178" s="92"/>
      <x:c r="T178" s="92"/>
      <x:c r="U178" s="92"/>
      <x:c r="V178" s="92"/>
      <x:c r="W178" s="92"/>
      <x:c r="X178" s="92"/>
      <x:c r="Y178" s="92"/>
      <x:c r="Z178" s="92"/>
    </x:row>
    <x:row r="179">
      <x:c r="A179" s="92"/>
      <x:c r="B179" s="92"/>
      <x:c r="C179" s="92"/>
      <x:c r="D179" s="92"/>
      <x:c r="E179" s="92"/>
      <x:c r="F179" s="92"/>
      <x:c r="G179" s="92"/>
      <x:c r="H179" s="92"/>
      <x:c r="I179" s="92"/>
      <x:c r="J179" s="92"/>
      <x:c r="K179" s="92"/>
      <x:c r="L179" s="92"/>
      <x:c r="M179" s="92"/>
      <x:c r="N179" s="92"/>
      <x:c r="O179" s="92"/>
      <x:c r="P179" s="92"/>
      <x:c r="Q179" s="92"/>
      <x:c r="R179" s="92"/>
      <x:c r="S179" s="92"/>
      <x:c r="T179" s="92"/>
      <x:c r="U179" s="92"/>
      <x:c r="V179" s="92"/>
      <x:c r="W179" s="92"/>
      <x:c r="X179" s="92"/>
      <x:c r="Y179" s="92"/>
      <x:c r="Z179" s="92"/>
    </x:row>
    <x:row r="180">
      <x:c r="A180" s="92"/>
      <x:c r="B180" s="92"/>
      <x:c r="C180" s="92"/>
      <x:c r="D180" s="92"/>
      <x:c r="E180" s="92"/>
      <x:c r="F180" s="92"/>
      <x:c r="G180" s="92"/>
      <x:c r="H180" s="92"/>
      <x:c r="I180" s="92"/>
      <x:c r="J180" s="92"/>
      <x:c r="K180" s="92"/>
      <x:c r="L180" s="92"/>
      <x:c r="M180" s="92"/>
      <x:c r="N180" s="92"/>
      <x:c r="O180" s="92"/>
      <x:c r="P180" s="92"/>
      <x:c r="Q180" s="92"/>
      <x:c r="R180" s="92"/>
      <x:c r="S180" s="92"/>
      <x:c r="T180" s="92"/>
      <x:c r="U180" s="92"/>
      <x:c r="V180" s="92"/>
      <x:c r="W180" s="92"/>
      <x:c r="X180" s="92"/>
      <x:c r="Y180" s="92"/>
      <x:c r="Z180" s="92"/>
    </x:row>
    <x:row r="181">
      <x:c r="A181" s="92"/>
      <x:c r="B181" s="92"/>
      <x:c r="C181" s="92"/>
      <x:c r="D181" s="92"/>
      <x:c r="E181" s="92"/>
      <x:c r="F181" s="92"/>
      <x:c r="G181" s="92"/>
      <x:c r="H181" s="92"/>
      <x:c r="I181" s="92"/>
      <x:c r="J181" s="92"/>
      <x:c r="K181" s="92"/>
      <x:c r="L181" s="92"/>
      <x:c r="M181" s="92"/>
      <x:c r="N181" s="92"/>
      <x:c r="O181" s="92"/>
      <x:c r="P181" s="92"/>
      <x:c r="Q181" s="92"/>
      <x:c r="R181" s="92"/>
      <x:c r="S181" s="92"/>
      <x:c r="T181" s="92"/>
      <x:c r="U181" s="92"/>
      <x:c r="V181" s="92"/>
      <x:c r="W181" s="92"/>
      <x:c r="X181" s="92"/>
      <x:c r="Y181" s="92"/>
      <x:c r="Z181" s="92"/>
    </x:row>
    <x:row r="182">
      <x:c r="A182" s="92"/>
      <x:c r="B182" s="92"/>
      <x:c r="C182" s="92"/>
      <x:c r="D182" s="92"/>
      <x:c r="E182" s="92"/>
      <x:c r="F182" s="92"/>
      <x:c r="G182" s="92"/>
      <x:c r="H182" s="92"/>
      <x:c r="I182" s="92"/>
      <x:c r="J182" s="92"/>
      <x:c r="K182" s="92"/>
      <x:c r="L182" s="92"/>
      <x:c r="M182" s="92"/>
      <x:c r="N182" s="92"/>
      <x:c r="O182" s="92"/>
      <x:c r="P182" s="92"/>
      <x:c r="Q182" s="92"/>
      <x:c r="R182" s="92"/>
      <x:c r="S182" s="92"/>
      <x:c r="T182" s="92"/>
      <x:c r="U182" s="92"/>
      <x:c r="V182" s="92"/>
      <x:c r="W182" s="92"/>
      <x:c r="X182" s="92"/>
      <x:c r="Y182" s="92"/>
      <x:c r="Z182" s="92"/>
    </x:row>
    <x:row r="183">
      <x:c r="A183" s="92"/>
      <x:c r="B183" s="92"/>
      <x:c r="C183" s="92"/>
      <x:c r="D183" s="92"/>
      <x:c r="E183" s="92"/>
      <x:c r="F183" s="92"/>
      <x:c r="G183" s="92"/>
      <x:c r="H183" s="92"/>
      <x:c r="I183" s="92"/>
      <x:c r="J183" s="92"/>
      <x:c r="K183" s="92"/>
      <x:c r="L183" s="92"/>
      <x:c r="M183" s="92"/>
      <x:c r="N183" s="92"/>
      <x:c r="O183" s="92"/>
      <x:c r="P183" s="92"/>
      <x:c r="Q183" s="92"/>
      <x:c r="R183" s="92"/>
      <x:c r="S183" s="92"/>
      <x:c r="T183" s="92"/>
      <x:c r="U183" s="92"/>
      <x:c r="V183" s="92"/>
      <x:c r="W183" s="92"/>
      <x:c r="X183" s="92"/>
      <x:c r="Y183" s="92"/>
      <x:c r="Z183" s="92"/>
    </x:row>
    <x:row r="184">
      <x:c r="A184" s="92"/>
      <x:c r="B184" s="92"/>
      <x:c r="C184" s="92"/>
      <x:c r="D184" s="92"/>
      <x:c r="E184" s="92"/>
      <x:c r="F184" s="92"/>
      <x:c r="G184" s="92"/>
      <x:c r="H184" s="92"/>
      <x:c r="I184" s="92"/>
      <x:c r="J184" s="92"/>
      <x:c r="K184" s="92"/>
      <x:c r="L184" s="92"/>
      <x:c r="M184" s="92"/>
      <x:c r="N184" s="92"/>
      <x:c r="O184" s="92"/>
      <x:c r="P184" s="92"/>
      <x:c r="Q184" s="92"/>
      <x:c r="R184" s="92"/>
      <x:c r="S184" s="92"/>
      <x:c r="T184" s="92"/>
      <x:c r="U184" s="92"/>
      <x:c r="V184" s="92"/>
      <x:c r="W184" s="92"/>
      <x:c r="X184" s="92"/>
      <x:c r="Y184" s="92"/>
      <x:c r="Z184" s="92"/>
    </x:row>
    <x:row r="185">
      <x:c r="A185" s="92"/>
      <x:c r="B185" s="92"/>
      <x:c r="C185" s="92"/>
      <x:c r="D185" s="92"/>
      <x:c r="E185" s="92"/>
      <x:c r="F185" s="92"/>
      <x:c r="G185" s="92"/>
      <x:c r="H185" s="92"/>
      <x:c r="I185" s="92"/>
      <x:c r="J185" s="92"/>
      <x:c r="K185" s="92"/>
      <x:c r="L185" s="92"/>
      <x:c r="M185" s="92"/>
      <x:c r="N185" s="92"/>
      <x:c r="O185" s="92"/>
      <x:c r="P185" s="92"/>
      <x:c r="Q185" s="92"/>
      <x:c r="R185" s="92"/>
      <x:c r="S185" s="92"/>
      <x:c r="T185" s="92"/>
      <x:c r="U185" s="92"/>
      <x:c r="V185" s="92"/>
      <x:c r="W185" s="92"/>
      <x:c r="X185" s="92"/>
      <x:c r="Y185" s="92"/>
      <x:c r="Z185" s="92"/>
    </x:row>
    <x:row r="186">
      <x:c r="A186" s="92"/>
      <x:c r="B186" s="92"/>
      <x:c r="C186" s="92"/>
      <x:c r="D186" s="92"/>
      <x:c r="E186" s="92"/>
      <x:c r="F186" s="92"/>
      <x:c r="G186" s="92"/>
      <x:c r="H186" s="92"/>
      <x:c r="I186" s="92"/>
      <x:c r="J186" s="92"/>
      <x:c r="K186" s="92"/>
      <x:c r="L186" s="92"/>
      <x:c r="M186" s="92"/>
      <x:c r="N186" s="92"/>
      <x:c r="O186" s="92"/>
      <x:c r="P186" s="92"/>
      <x:c r="Q186" s="92"/>
      <x:c r="R186" s="92"/>
      <x:c r="S186" s="92"/>
      <x:c r="T186" s="92"/>
      <x:c r="U186" s="92"/>
      <x:c r="V186" s="92"/>
      <x:c r="W186" s="92"/>
      <x:c r="X186" s="92"/>
      <x:c r="Y186" s="92"/>
      <x:c r="Z186" s="92"/>
    </x:row>
    <x:row r="187">
      <x:c r="A187" s="92"/>
      <x:c r="B187" s="92"/>
      <x:c r="C187" s="92"/>
      <x:c r="D187" s="92"/>
      <x:c r="E187" s="92"/>
      <x:c r="F187" s="92"/>
      <x:c r="G187" s="92"/>
      <x:c r="H187" s="92"/>
      <x:c r="I187" s="92"/>
      <x:c r="J187" s="92"/>
      <x:c r="K187" s="92"/>
      <x:c r="L187" s="92"/>
      <x:c r="M187" s="92"/>
      <x:c r="N187" s="92"/>
      <x:c r="O187" s="92"/>
      <x:c r="P187" s="92"/>
      <x:c r="Q187" s="92"/>
      <x:c r="R187" s="92"/>
      <x:c r="S187" s="92"/>
      <x:c r="T187" s="92"/>
      <x:c r="U187" s="92"/>
      <x:c r="V187" s="92"/>
      <x:c r="W187" s="92"/>
      <x:c r="X187" s="92"/>
      <x:c r="Y187" s="92"/>
      <x:c r="Z187" s="92"/>
    </x:row>
    <x:row r="188">
      <x:c r="A188" s="92"/>
      <x:c r="B188" s="92"/>
      <x:c r="C188" s="92"/>
      <x:c r="D188" s="92"/>
      <x:c r="E188" s="92"/>
      <x:c r="F188" s="92"/>
      <x:c r="G188" s="92"/>
      <x:c r="H188" s="92"/>
      <x:c r="I188" s="92"/>
      <x:c r="J188" s="92"/>
      <x:c r="K188" s="92"/>
      <x:c r="L188" s="92"/>
      <x:c r="M188" s="92"/>
      <x:c r="N188" s="92"/>
      <x:c r="O188" s="92"/>
      <x:c r="P188" s="92"/>
      <x:c r="Q188" s="92"/>
      <x:c r="R188" s="92"/>
      <x:c r="S188" s="92"/>
      <x:c r="T188" s="92"/>
      <x:c r="U188" s="92"/>
      <x:c r="V188" s="92"/>
      <x:c r="W188" s="92"/>
      <x:c r="X188" s="92"/>
      <x:c r="Y188" s="92"/>
      <x:c r="Z188" s="92"/>
    </x:row>
    <x:row r="189">
      <x:c r="A189" s="92"/>
      <x:c r="B189" s="92"/>
      <x:c r="C189" s="92"/>
      <x:c r="D189" s="92"/>
      <x:c r="E189" s="92"/>
      <x:c r="F189" s="92"/>
      <x:c r="G189" s="92"/>
      <x:c r="H189" s="92"/>
      <x:c r="I189" s="92"/>
      <x:c r="J189" s="92"/>
      <x:c r="K189" s="92"/>
      <x:c r="L189" s="92"/>
      <x:c r="M189" s="92"/>
      <x:c r="N189" s="92"/>
      <x:c r="O189" s="92"/>
      <x:c r="P189" s="92"/>
      <x:c r="Q189" s="92"/>
      <x:c r="R189" s="92"/>
      <x:c r="S189" s="92"/>
      <x:c r="T189" s="92"/>
      <x:c r="U189" s="92"/>
      <x:c r="V189" s="92"/>
      <x:c r="W189" s="92"/>
      <x:c r="X189" s="92"/>
      <x:c r="Y189" s="92"/>
      <x:c r="Z189" s="92"/>
    </x:row>
    <x:row r="190">
      <x:c r="A190" s="92"/>
      <x:c r="B190" s="92"/>
      <x:c r="C190" s="92"/>
      <x:c r="D190" s="92"/>
      <x:c r="E190" s="92"/>
      <x:c r="F190" s="92"/>
      <x:c r="G190" s="92"/>
      <x:c r="H190" s="92"/>
      <x:c r="I190" s="92"/>
      <x:c r="J190" s="92"/>
      <x:c r="K190" s="92"/>
      <x:c r="L190" s="92"/>
      <x:c r="M190" s="92"/>
      <x:c r="N190" s="92"/>
      <x:c r="O190" s="92"/>
      <x:c r="P190" s="92"/>
      <x:c r="Q190" s="92"/>
      <x:c r="R190" s="92"/>
      <x:c r="S190" s="92"/>
      <x:c r="T190" s="92"/>
      <x:c r="U190" s="92"/>
      <x:c r="V190" s="92"/>
      <x:c r="W190" s="92"/>
      <x:c r="X190" s="92"/>
      <x:c r="Y190" s="92"/>
      <x:c r="Z190" s="92"/>
    </x:row>
    <x:row r="191">
      <x:c r="A191" s="92"/>
      <x:c r="B191" s="92"/>
      <x:c r="C191" s="92"/>
      <x:c r="D191" s="92"/>
      <x:c r="E191" s="92"/>
      <x:c r="F191" s="92"/>
      <x:c r="G191" s="92"/>
      <x:c r="H191" s="92"/>
      <x:c r="I191" s="92"/>
      <x:c r="J191" s="92"/>
      <x:c r="K191" s="92"/>
      <x:c r="L191" s="92"/>
      <x:c r="M191" s="92"/>
      <x:c r="N191" s="92"/>
      <x:c r="O191" s="92"/>
      <x:c r="P191" s="92"/>
      <x:c r="Q191" s="92"/>
      <x:c r="R191" s="92"/>
      <x:c r="S191" s="92"/>
      <x:c r="T191" s="92"/>
      <x:c r="U191" s="92"/>
      <x:c r="V191" s="92"/>
      <x:c r="W191" s="92"/>
      <x:c r="X191" s="92"/>
      <x:c r="Y191" s="92"/>
      <x:c r="Z191" s="92"/>
    </x:row>
    <x:row r="192">
      <x:c r="A192" s="92"/>
      <x:c r="B192" s="92"/>
      <x:c r="C192" s="92"/>
      <x:c r="D192" s="92"/>
      <x:c r="E192" s="92"/>
      <x:c r="F192" s="92"/>
      <x:c r="G192" s="92"/>
      <x:c r="H192" s="92"/>
      <x:c r="I192" s="92"/>
      <x:c r="J192" s="92"/>
      <x:c r="K192" s="92"/>
      <x:c r="L192" s="92"/>
      <x:c r="M192" s="92"/>
      <x:c r="N192" s="92"/>
      <x:c r="O192" s="92"/>
      <x:c r="P192" s="92"/>
      <x:c r="Q192" s="92"/>
      <x:c r="R192" s="92"/>
      <x:c r="S192" s="92"/>
      <x:c r="T192" s="92"/>
      <x:c r="U192" s="92"/>
      <x:c r="V192" s="92"/>
      <x:c r="W192" s="92"/>
      <x:c r="X192" s="92"/>
      <x:c r="Y192" s="92"/>
      <x:c r="Z192" s="92"/>
    </x:row>
    <x:row r="193">
      <x:c r="A193" s="92"/>
      <x:c r="B193" s="92"/>
      <x:c r="C193" s="92"/>
      <x:c r="D193" s="92"/>
      <x:c r="E193" s="92"/>
      <x:c r="F193" s="92"/>
      <x:c r="G193" s="92"/>
      <x:c r="H193" s="92"/>
      <x:c r="I193" s="92"/>
      <x:c r="J193" s="92"/>
      <x:c r="K193" s="92"/>
      <x:c r="L193" s="92"/>
      <x:c r="M193" s="92"/>
      <x:c r="N193" s="92"/>
      <x:c r="O193" s="92"/>
      <x:c r="P193" s="92"/>
      <x:c r="Q193" s="92"/>
      <x:c r="R193" s="92"/>
      <x:c r="S193" s="92"/>
      <x:c r="T193" s="92"/>
      <x:c r="U193" s="92"/>
      <x:c r="V193" s="92"/>
      <x:c r="W193" s="92"/>
      <x:c r="X193" s="92"/>
      <x:c r="Y193" s="92"/>
      <x:c r="Z193" s="92"/>
    </x:row>
    <x:row r="194">
      <x:c r="A194" s="92"/>
      <x:c r="B194" s="92"/>
      <x:c r="C194" s="92"/>
      <x:c r="D194" s="92"/>
      <x:c r="E194" s="92"/>
      <x:c r="F194" s="92"/>
      <x:c r="G194" s="92"/>
      <x:c r="H194" s="92"/>
      <x:c r="I194" s="92"/>
      <x:c r="J194" s="92"/>
      <x:c r="K194" s="92"/>
      <x:c r="L194" s="92"/>
      <x:c r="M194" s="92"/>
      <x:c r="N194" s="92"/>
      <x:c r="O194" s="92"/>
      <x:c r="P194" s="92"/>
      <x:c r="Q194" s="92"/>
      <x:c r="R194" s="92"/>
      <x:c r="S194" s="92"/>
      <x:c r="T194" s="92"/>
      <x:c r="U194" s="92"/>
      <x:c r="V194" s="92"/>
      <x:c r="W194" s="92"/>
      <x:c r="X194" s="92"/>
      <x:c r="Y194" s="92"/>
      <x:c r="Z194" s="92"/>
    </x:row>
    <x:row r="195">
      <x:c r="A195" s="92"/>
      <x:c r="B195" s="92"/>
      <x:c r="C195" s="92"/>
      <x:c r="D195" s="92"/>
      <x:c r="E195" s="92"/>
      <x:c r="F195" s="92"/>
      <x:c r="G195" s="92"/>
      <x:c r="H195" s="92"/>
      <x:c r="I195" s="92"/>
      <x:c r="J195" s="92"/>
      <x:c r="K195" s="92"/>
      <x:c r="L195" s="92"/>
      <x:c r="M195" s="92"/>
      <x:c r="N195" s="92"/>
      <x:c r="O195" s="92"/>
      <x:c r="P195" s="92"/>
      <x:c r="Q195" s="92"/>
      <x:c r="R195" s="92"/>
      <x:c r="S195" s="92"/>
      <x:c r="T195" s="92"/>
      <x:c r="U195" s="92"/>
      <x:c r="V195" s="92"/>
      <x:c r="W195" s="92"/>
      <x:c r="X195" s="92"/>
      <x:c r="Y195" s="92"/>
      <x:c r="Z195" s="92"/>
    </x:row>
    <x:row r="196">
      <x:c r="A196" s="92"/>
      <x:c r="B196" s="92"/>
      <x:c r="C196" s="92"/>
      <x:c r="D196" s="92"/>
      <x:c r="E196" s="92"/>
      <x:c r="F196" s="92"/>
      <x:c r="G196" s="92"/>
      <x:c r="H196" s="92"/>
      <x:c r="I196" s="92"/>
      <x:c r="J196" s="92"/>
      <x:c r="K196" s="92"/>
      <x:c r="L196" s="92"/>
      <x:c r="M196" s="92"/>
      <x:c r="N196" s="92"/>
      <x:c r="O196" s="92"/>
      <x:c r="P196" s="92"/>
      <x:c r="Q196" s="92"/>
      <x:c r="R196" s="92"/>
      <x:c r="S196" s="92"/>
      <x:c r="T196" s="92"/>
      <x:c r="U196" s="92"/>
      <x:c r="V196" s="92"/>
      <x:c r="W196" s="92"/>
      <x:c r="X196" s="92"/>
      <x:c r="Y196" s="92"/>
      <x:c r="Z196" s="92"/>
    </x:row>
    <x:row r="197">
      <x:c r="A197" s="92"/>
      <x:c r="B197" s="92"/>
      <x:c r="C197" s="92"/>
      <x:c r="D197" s="92"/>
      <x:c r="E197" s="92"/>
      <x:c r="F197" s="92"/>
      <x:c r="G197" s="92"/>
      <x:c r="H197" s="92"/>
      <x:c r="I197" s="92"/>
      <x:c r="J197" s="92"/>
      <x:c r="K197" s="92"/>
      <x:c r="L197" s="92"/>
      <x:c r="M197" s="92"/>
      <x:c r="N197" s="92"/>
      <x:c r="O197" s="92"/>
      <x:c r="P197" s="92"/>
      <x:c r="Q197" s="92"/>
      <x:c r="R197" s="92"/>
      <x:c r="S197" s="92"/>
      <x:c r="T197" s="92"/>
      <x:c r="U197" s="92"/>
      <x:c r="V197" s="92"/>
      <x:c r="W197" s="92"/>
      <x:c r="X197" s="92"/>
      <x:c r="Y197" s="92"/>
      <x:c r="Z197" s="92"/>
    </x:row>
    <x:row r="198">
      <x:c r="A198" s="92"/>
      <x:c r="B198" s="92"/>
      <x:c r="C198" s="92"/>
      <x:c r="D198" s="92"/>
      <x:c r="E198" s="92"/>
      <x:c r="F198" s="92"/>
      <x:c r="G198" s="92"/>
      <x:c r="H198" s="92"/>
      <x:c r="I198" s="92"/>
      <x:c r="J198" s="92"/>
      <x:c r="K198" s="92"/>
      <x:c r="L198" s="92"/>
      <x:c r="M198" s="92"/>
      <x:c r="N198" s="92"/>
      <x:c r="O198" s="92"/>
      <x:c r="P198" s="92"/>
      <x:c r="Q198" s="92"/>
      <x:c r="R198" s="92"/>
      <x:c r="S198" s="92"/>
      <x:c r="T198" s="92"/>
      <x:c r="U198" s="92"/>
      <x:c r="V198" s="92"/>
      <x:c r="W198" s="92"/>
      <x:c r="X198" s="92"/>
      <x:c r="Y198" s="92"/>
      <x:c r="Z198" s="92"/>
    </x:row>
    <x:row r="199">
      <x:c r="A199" s="92"/>
      <x:c r="B199" s="92"/>
      <x:c r="C199" s="92"/>
      <x:c r="D199" s="92"/>
      <x:c r="E199" s="92"/>
      <x:c r="F199" s="92"/>
      <x:c r="G199" s="92"/>
      <x:c r="H199" s="92"/>
      <x:c r="I199" s="92"/>
      <x:c r="J199" s="92"/>
      <x:c r="K199" s="92"/>
      <x:c r="L199" s="92"/>
      <x:c r="M199" s="92"/>
      <x:c r="N199" s="92"/>
      <x:c r="O199" s="92"/>
      <x:c r="P199" s="92"/>
      <x:c r="Q199" s="92"/>
      <x:c r="R199" s="92"/>
      <x:c r="S199" s="92"/>
      <x:c r="T199" s="92"/>
      <x:c r="U199" s="92"/>
      <x:c r="V199" s="92"/>
      <x:c r="W199" s="92"/>
      <x:c r="X199" s="92"/>
      <x:c r="Y199" s="92"/>
      <x:c r="Z199" s="92"/>
    </x:row>
    <x:row r="200">
      <x:c r="A200" s="92"/>
      <x:c r="B200" s="92"/>
      <x:c r="C200" s="92"/>
      <x:c r="D200" s="92"/>
      <x:c r="E200" s="92"/>
      <x:c r="F200" s="92"/>
      <x:c r="G200" s="92"/>
      <x:c r="H200" s="92"/>
      <x:c r="I200" s="92"/>
      <x:c r="J200" s="92"/>
      <x:c r="K200" s="92"/>
      <x:c r="L200" s="92"/>
      <x:c r="M200" s="92"/>
      <x:c r="N200" s="92"/>
      <x:c r="O200" s="92"/>
      <x:c r="P200" s="92"/>
      <x:c r="Q200" s="92"/>
      <x:c r="R200" s="92"/>
      <x:c r="S200" s="92"/>
      <x:c r="T200" s="92"/>
      <x:c r="U200" s="92"/>
      <x:c r="V200" s="92"/>
      <x:c r="W200" s="92"/>
      <x:c r="X200" s="92"/>
      <x:c r="Y200" s="92"/>
      <x:c r="Z200" s="92"/>
    </x:row>
  </x:sheetData>
  <x:conditionalFormatting sqref="F2:F89">
    <x:cfRule type="expression" dxfId="0" priority="1">
      <x:formula>F2="P0"</x:formula>
    </x:cfRule>
    <x:cfRule type="expression" dxfId="1" priority="2">
      <x:formula>F2="P1"</x:formula>
    </x:cfRule>
    <x:cfRule type="expression" dxfId="2" priority="3">
      <x:formula>F2="P2"</x:formula>
    </x:cfRule>
  </x:conditionalFormatting>
  <x:conditionalFormatting sqref="Q2:Q89">
    <x:cfRule type="expression" dxfId="3" priority="4">
      <x:formula>Q2="Pass"</x:formula>
    </x:cfRule>
    <x:cfRule type="expression" dxfId="4" priority="5">
      <x:formula>Q2="Fail"</x:formula>
    </x:cfRule>
    <x:cfRule type="expression" dxfId="5" priority="6">
      <x:formula>Q2="Blocked"</x:formula>
    </x:cfRule>
    <x:cfRule type="expression" dxfId="6" priority="7">
      <x:formula>Q2="Retest"</x:formula>
    </x:cfRule>
    <x:cfRule type="expression" dxfId="7" priority="8">
      <x:formula>Q2="Not Run"</x:formula>
    </x:cfRule>
  </x:conditionalFormatting>
  <x:dataValidations count="3">
    <x:dataValidation type="list" sqref="E2:E89">
      <x:formula1>"Functional / End-to-End,Boundary / Functional,Negative / Functional,Robustness / Functional,Data Integrity,Reliability / Idempotency,Recovery,Recovery / Fault Injection,Recovery / Hardware,Negative / Boundary,Recovery / Boundary,Offline / Recovery,Offline / Functional,Recovery / Data Integrity,Recovery / Mobile Lifecycle,Negative / Recovery,Negative / Compatibility,Recovery / Compatibility,Stress / Reliability,Concurrency / Idempotency,Functional / Batch,Concurrency / Functional,Offline / Batch,Reliability / Fault Isolation,Recovery / Batch,Architecture / Idempotency,Boundary / Performance,Performance / End-to-End,Performance / Reliability,Functional / Compatibility,Negative / Usability,Compatibility / Reliability,Negative / Permissions,Recovery / Data Integrity,Mobile Lifecycle,Mobile Lifecycle / Performance,Security / Recovery,Security / Product Rule,Security / Data Isolation,Recovery / Compatibility,Integration / Functional,Retry / Integration,Retry / Negative,Negative / Retry Policy,Timeout / Retry,Schema Validation / Negative,Schema Validation / Partial Result,Idempotency / Integration,Concurrency / State Machine,Service Outage / Recovery,Consistency / Recovery,Recovery / Functional,Functional,State Handling / Usability,Reliability / Navigation,Data Integrity / Functional,Functional / Data Integrity,Concurrency / Recovery,Compatibility / Performance,Performance / Layout,Compatibility / Layout,Data Integrity / Cache,Negative / State Handling,Functional / Security,Security / Authorization,Security,Security / Functional,Security / Privacy / Data Lifecycle,Compatibility,Backward Compatibility,Compatibility / Data Integrity,Performance / Compatibility"</x:formula1>
    </x:dataValidation>
    <x:dataValidation type="list" sqref="F2:F89">
      <x:formula1>"P0,P1,P2"</x:formula1>
    </x:dataValidation>
    <x:dataValidation type="list" sqref="Q2:Q89">
      <x:formula1>"Not Run,Pass,Fail,Blocked,Retest"</x:formula1>
    </x:dataValidation>
  </x:dataValidations>
  <x:pageMargins left="0.7" right="0.7" top="0.75" bottom="0.75" header="0.3" footer="0.3"/>
  <x:tableParts count="1">
    <x:tablePart xmlns:r="http://schemas.openxmlformats.org/officeDocument/2006/relationships" r:id="R561a5ced4562459d"/>
  </x:tableParts>
</x:worksheet>
</file>

<file path=xl/worksheets/sheet3.xml><?xml version="1.0" encoding="utf-8"?>
<x:worksheet xmlns:x="http://schemas.openxmlformats.org/spreadsheetml/2006/main">
  <x:sheetFormatPr defaultRowHeight="15"/>
  <x:cols>
    <x:col min="1" max="1" width="16" hidden="0" customWidth="1"/>
    <x:col min="2" max="2" width="34" hidden="0" customWidth="1"/>
    <x:col min="3" max="3" width="20" hidden="0" customWidth="1"/>
    <x:col min="4" max="4" width="92" hidden="0" customWidth="1"/>
    <x:col min="5" max="5" width="18" hidden="0" customWidth="1"/>
  </x:cols>
  <x:sheetData>
    <x:row r="1">
      <x:c r="A1" s="93" t="str">
        <x:v>Requirement ID</x:v>
      </x:c>
      <x:c r="B1" s="95" t="str">
        <x:v>Topic</x:v>
      </x:c>
      <x:c r="C1" s="95" t="str">
        <x:v>Status</x:v>
      </x:c>
      <x:c r="D1" s="94" t="str">
        <x:v>Definition / Decision Needed</x:v>
      </x:c>
      <x:c r="E1" s="157" t="str">
        <x:v>Linked Test Cases</x:v>
      </x:c>
      <x:c r="F1" s="92"/>
      <x:c r="G1" s="92"/>
      <x:c r="H1" s="92"/>
      <x:c r="I1" s="92"/>
      <x:c r="J1" s="92"/>
      <x:c r="K1" s="92"/>
      <x:c r="L1" s="92"/>
      <x:c r="M1" s="92"/>
      <x:c r="N1" s="92"/>
      <x:c r="O1" s="92"/>
      <x:c r="P1" s="92"/>
      <x:c r="Q1" s="92"/>
      <x:c r="R1" s="92"/>
      <x:c r="S1" s="92"/>
      <x:c r="T1" s="92"/>
      <x:c r="U1" s="92"/>
      <x:c r="V1" s="92"/>
      <x:c r="W1" s="92"/>
      <x:c r="X1" s="92"/>
      <x:c r="Y1" s="92"/>
      <x:c r="Z1" s="92"/>
    </x:row>
    <x:row r="2" ht="58" customHeight="1">
      <x:c r="A2" s="106" t="str">
        <x:v>RQ-01</x:v>
      </x:c>
      <x:c r="B2" s="107" t="str">
        <x:v>Session state model</x:v>
      </x:c>
      <x:c r="C2" s="107" t="str">
        <x:v>Required</x:v>
      </x:c>
      <x:c r="D2" s="108" t="str">
        <x:v>Define canonical states and valid transitions, including Recording, Local Saved, Pending Upload, Uploading, Uploaded, Processing, Completed, Retryable Failure, Final Failure, Interrupted, and Cancelled.</x:v>
      </x:c>
      <x:c r="E2" s="158" t="n">
        <x:f>COUNTIF('Test Cases'!G:G,"*"&amp;A2&amp;"*")</x:f>
        <x:v>0</x:v>
      </x:c>
      <x:c r="F2" s="92"/>
      <x:c r="G2" s="92"/>
      <x:c r="H2" s="92"/>
      <x:c r="I2" s="92"/>
      <x:c r="J2" s="92"/>
      <x:c r="K2" s="92"/>
      <x:c r="L2" s="92"/>
      <x:c r="M2" s="92"/>
      <x:c r="N2" s="92"/>
      <x:c r="O2" s="92"/>
      <x:c r="P2" s="92"/>
      <x:c r="Q2" s="92"/>
      <x:c r="R2" s="92"/>
      <x:c r="S2" s="92"/>
      <x:c r="T2" s="92"/>
      <x:c r="U2" s="92"/>
      <x:c r="V2" s="92"/>
      <x:c r="W2" s="92"/>
      <x:c r="X2" s="92"/>
      <x:c r="Y2" s="92"/>
      <x:c r="Z2" s="92"/>
    </x:row>
    <x:row r="3" ht="58" customHeight="1">
      <x:c r="A3" s="106" t="str">
        <x:v>RQ-02</x:v>
      </x:c>
      <x:c r="B3" s="107" t="str">
        <x:v>Single source of truth</x:v>
      </x:c>
      <x:c r="C3" s="107" t="str">
        <x:v>Required</x:v>
      </x:c>
      <x:c r="D3" s="108" t="str">
        <x:v>Define which component owns canonical session status and how stale/out-of-order updates are rejected.</x:v>
      </x:c>
      <x:c r="E3" s="158" t="n">
        <x:f>COUNTIF('Test Cases'!G:G,"*"&amp;A3&amp;"*")</x:f>
        <x:v>0</x:v>
      </x:c>
      <x:c r="F3" s="92"/>
      <x:c r="G3" s="92"/>
      <x:c r="H3" s="92"/>
      <x:c r="I3" s="92"/>
      <x:c r="J3" s="92"/>
      <x:c r="K3" s="92"/>
      <x:c r="L3" s="92"/>
      <x:c r="M3" s="92"/>
      <x:c r="N3" s="92"/>
      <x:c r="O3" s="92"/>
      <x:c r="P3" s="92"/>
      <x:c r="Q3" s="92"/>
      <x:c r="R3" s="92"/>
      <x:c r="S3" s="92"/>
      <x:c r="T3" s="92"/>
      <x:c r="U3" s="92"/>
      <x:c r="V3" s="92"/>
      <x:c r="W3" s="92"/>
      <x:c r="X3" s="92"/>
      <x:c r="Y3" s="92"/>
      <x:c r="Z3" s="92"/>
    </x:row>
    <x:row r="4" ht="58" customHeight="1">
      <x:c r="A4" s="106" t="str">
        <x:v>RQ-03</x:v>
      </x:c>
      <x:c r="B4" s="107" t="str">
        <x:v>Unique identity and idempotency</x:v>
      </x:c>
      <x:c r="C4" s="107" t="str">
        <x:v>Required</x:v>
      </x:c>
      <x:c r="D4" s="108" t="str">
        <x:v>Every source recording must have a stable unique ID/idempotency key across recorder, mobile app, storage, database, processing, Web App, and report.</x:v>
      </x:c>
      <x:c r="E4" s="158" t="n">
        <x:f>COUNTIF('Test Cases'!G:G,"*"&amp;A4&amp;"*")</x:f>
        <x:v>0</x:v>
      </x:c>
      <x:c r="F4" s="92"/>
      <x:c r="G4" s="92"/>
      <x:c r="H4" s="92"/>
      <x:c r="I4" s="92"/>
      <x:c r="J4" s="92"/>
      <x:c r="K4" s="92"/>
      <x:c r="L4" s="92"/>
      <x:c r="M4" s="92"/>
      <x:c r="N4" s="92"/>
      <x:c r="O4" s="92"/>
      <x:c r="P4" s="92"/>
      <x:c r="Q4" s="92"/>
      <x:c r="R4" s="92"/>
      <x:c r="S4" s="92"/>
      <x:c r="T4" s="92"/>
      <x:c r="U4" s="92"/>
      <x:c r="V4" s="92"/>
      <x:c r="W4" s="92"/>
      <x:c r="X4" s="92"/>
      <x:c r="Y4" s="92"/>
      <x:c r="Z4" s="92"/>
    </x:row>
    <x:row r="5" ht="58" customHeight="1">
      <x:c r="A5" s="106" t="str">
        <x:v>RQ-04</x:v>
      </x:c>
      <x:c r="B5" s="107" t="str">
        <x:v>Local persistence and audio storage</x:v>
      </x:c>
      <x:c r="C5" s="107" t="str">
        <x:v>Required</x:v>
      </x:c>
      <x:c r="D5" s="108" t="str">
        <x:v>Define local file persistence, server object-storage location, temporary-file behavior, acknowledgement, cleanup, and corruption detection.</x:v>
      </x:c>
      <x:c r="E5" s="158" t="n">
        <x:f>COUNTIF('Test Cases'!G:G,"*"&amp;A5&amp;"*")</x:f>
        <x:v>0</x:v>
      </x:c>
      <x:c r="F5" s="92"/>
      <x:c r="G5" s="92"/>
      <x:c r="H5" s="92"/>
      <x:c r="I5" s="92"/>
      <x:c r="J5" s="92"/>
      <x:c r="K5" s="92"/>
      <x:c r="L5" s="92"/>
      <x:c r="M5" s="92"/>
      <x:c r="N5" s="92"/>
      <x:c r="O5" s="92"/>
      <x:c r="P5" s="92"/>
      <x:c r="Q5" s="92"/>
      <x:c r="R5" s="92"/>
      <x:c r="S5" s="92"/>
      <x:c r="T5" s="92"/>
      <x:c r="U5" s="92"/>
      <x:c r="V5" s="92"/>
      <x:c r="W5" s="92"/>
      <x:c r="X5" s="92"/>
      <x:c r="Y5" s="92"/>
      <x:c r="Z5" s="92"/>
    </x:row>
    <x:row r="6" ht="58" customHeight="1">
      <x:c r="A6" s="106" t="str">
        <x:v>RQ-05</x:v>
      </x:c>
      <x:c r="B6" s="107" t="str">
        <x:v>Audio integrity tolerance</x:v>
      </x:c>
      <x:c r="C6" s="107" t="str">
        <x:v>Needs confirmation</x:v>
      </x:c>
      <x:c r="D6" s="108" t="str">
        <x:v>Define checksum method and acceptable duration difference. Proposed starting criterion: server audio duration differs from local audio by no more than the larger of 2 seconds or 2%, unless codec behavior requires another validated tolerance.</x:v>
      </x:c>
      <x:c r="E6" s="158" t="n">
        <x:f>COUNTIF('Test Cases'!G:G,"*"&amp;A6&amp;"*")</x:f>
        <x:v>0</x:v>
      </x:c>
      <x:c r="F6" s="92"/>
      <x:c r="G6" s="92"/>
      <x:c r="H6" s="92"/>
      <x:c r="I6" s="92"/>
      <x:c r="J6" s="92"/>
      <x:c r="K6" s="92"/>
      <x:c r="L6" s="92"/>
      <x:c r="M6" s="92"/>
      <x:c r="N6" s="92"/>
      <x:c r="O6" s="92"/>
      <x:c r="P6" s="92"/>
      <x:c r="Q6" s="92"/>
      <x:c r="R6" s="92"/>
      <x:c r="S6" s="92"/>
      <x:c r="T6" s="92"/>
      <x:c r="U6" s="92"/>
      <x:c r="V6" s="92"/>
      <x:c r="W6" s="92"/>
      <x:c r="X6" s="92"/>
      <x:c r="Y6" s="92"/>
      <x:c r="Z6" s="92"/>
    </x:row>
    <x:row r="7" ht="58" customHeight="1">
      <x:c r="A7" s="106" t="str">
        <x:v>RQ-06</x:v>
      </x:c>
      <x:c r="B7" s="107" t="str">
        <x:v>Interrupted recording policy</x:v>
      </x:c>
      <x:c r="C7" s="107" t="str">
        <x:v>Needs confirmation</x:v>
      </x:c>
      <x:c r="D7" s="108" t="str">
        <x:v>Recommended behavior: preserve valid captured audio as an Interrupted session and never silently discard or mark it Completed.</x:v>
      </x:c>
      <x:c r="E7" s="158" t="n">
        <x:f>COUNTIF('Test Cases'!G:G,"*"&amp;A7&amp;"*")</x:f>
        <x:v>0</x:v>
      </x:c>
      <x:c r="F7" s="92"/>
      <x:c r="G7" s="92"/>
      <x:c r="H7" s="92"/>
      <x:c r="I7" s="92"/>
      <x:c r="J7" s="92"/>
      <x:c r="K7" s="92"/>
      <x:c r="L7" s="92"/>
      <x:c r="M7" s="92"/>
      <x:c r="N7" s="92"/>
      <x:c r="O7" s="92"/>
      <x:c r="P7" s="92"/>
      <x:c r="Q7" s="92"/>
      <x:c r="R7" s="92"/>
      <x:c r="S7" s="92"/>
      <x:c r="T7" s="92"/>
      <x:c r="U7" s="92"/>
      <x:c r="V7" s="92"/>
      <x:c r="W7" s="92"/>
      <x:c r="X7" s="92"/>
      <x:c r="Y7" s="92"/>
      <x:c r="Z7" s="92"/>
    </x:row>
    <x:row r="8" ht="58" customHeight="1">
      <x:c r="A8" s="106" t="str">
        <x:v>RQ-07</x:v>
      </x:c>
      <x:c r="B8" s="107" t="str">
        <x:v>Minimum and maximum duration</x:v>
      </x:c>
      <x:c r="C8" s="107" t="str">
        <x:v>Needs confirmation</x:v>
      </x:c>
      <x:c r="D8" s="108" t="str">
        <x:v>Define minimum accepted recording length, maximum supported duration, warning timing, and behavior at/over the limit.</x:v>
      </x:c>
      <x:c r="E8" s="158" t="n">
        <x:f>COUNTIF('Test Cases'!G:G,"*"&amp;A8&amp;"*")</x:f>
        <x:v>0</x:v>
      </x:c>
      <x:c r="F8" s="92"/>
      <x:c r="G8" s="92"/>
      <x:c r="H8" s="92"/>
      <x:c r="I8" s="92"/>
      <x:c r="J8" s="92"/>
      <x:c r="K8" s="92"/>
      <x:c r="L8" s="92"/>
      <x:c r="M8" s="92"/>
      <x:c r="N8" s="92"/>
      <x:c r="O8" s="92"/>
      <x:c r="P8" s="92"/>
      <x:c r="Q8" s="92"/>
      <x:c r="R8" s="92"/>
      <x:c r="S8" s="92"/>
      <x:c r="T8" s="92"/>
      <x:c r="U8" s="92"/>
      <x:c r="V8" s="92"/>
      <x:c r="W8" s="92"/>
      <x:c r="X8" s="92"/>
      <x:c r="Y8" s="92"/>
      <x:c r="Z8" s="92"/>
    </x:row>
    <x:row r="9" ht="58" customHeight="1">
      <x:c r="A9" s="106" t="str">
        <x:v>RQ-08</x:v>
      </x:c>
      <x:c r="B9" s="107" t="str">
        <x:v>Upload queue behavior</x:v>
      </x:c>
      <x:c r="C9" s="107" t="str">
        <x:v>Required</x:v>
      </x:c>
      <x:c r="D9" s="108" t="str">
        <x:v>Define persistence, ordering, per-item fault isolation, maximum queue size, and when local data may be removed.</x:v>
      </x:c>
      <x:c r="E9" s="158" t="n">
        <x:f>COUNTIF('Test Cases'!G:G,"*"&amp;A9&amp;"*")</x:f>
        <x:v>0</x:v>
      </x:c>
      <x:c r="F9" s="92"/>
      <x:c r="G9" s="92"/>
      <x:c r="H9" s="92"/>
      <x:c r="I9" s="92"/>
      <x:c r="J9" s="92"/>
      <x:c r="K9" s="92"/>
      <x:c r="L9" s="92"/>
      <x:c r="M9" s="92"/>
      <x:c r="N9" s="92"/>
      <x:c r="O9" s="92"/>
      <x:c r="P9" s="92"/>
      <x:c r="Q9" s="92"/>
      <x:c r="R9" s="92"/>
      <x:c r="S9" s="92"/>
      <x:c r="T9" s="92"/>
      <x:c r="U9" s="92"/>
      <x:c r="V9" s="92"/>
      <x:c r="W9" s="92"/>
      <x:c r="X9" s="92"/>
      <x:c r="Y9" s="92"/>
      <x:c r="Z9" s="92"/>
    </x:row>
    <x:row r="10" ht="58" customHeight="1">
      <x:c r="A10" s="106" t="str">
        <x:v>RQ-09</x:v>
      </x:c>
      <x:c r="B10" s="107" t="str">
        <x:v>Upload resume strategy</x:v>
      </x:c>
      <x:c r="C10" s="107" t="str">
        <x:v>Needs confirmation</x:v>
      </x:c>
      <x:c r="D10" s="108" t="str">
        <x:v>Define resumable/chunked upload versus full restart, incomplete-object cleanup, backoff, and concurrent retry prevention.</x:v>
      </x:c>
      <x:c r="E10" s="158" t="n">
        <x:f>COUNTIF('Test Cases'!G:G,"*"&amp;A10&amp;"*")</x:f>
        <x:v>0</x:v>
      </x:c>
      <x:c r="F10" s="92"/>
      <x:c r="G10" s="92"/>
      <x:c r="H10" s="92"/>
      <x:c r="I10" s="92"/>
      <x:c r="J10" s="92"/>
      <x:c r="K10" s="92"/>
      <x:c r="L10" s="92"/>
      <x:c r="M10" s="92"/>
      <x:c r="N10" s="92"/>
      <x:c r="O10" s="92"/>
      <x:c r="P10" s="92"/>
      <x:c r="Q10" s="92"/>
      <x:c r="R10" s="92"/>
      <x:c r="S10" s="92"/>
      <x:c r="T10" s="92"/>
      <x:c r="U10" s="92"/>
      <x:c r="V10" s="92"/>
      <x:c r="W10" s="92"/>
      <x:c r="X10" s="92"/>
      <x:c r="Y10" s="92"/>
      <x:c r="Z10" s="92"/>
    </x:row>
    <x:row r="11" ht="58" customHeight="1">
      <x:c r="A11" s="106" t="str">
        <x:v>RQ-10</x:v>
      </x:c>
      <x:c r="B11" s="107" t="str">
        <x:v>Offline/background behavior</x:v>
      </x:c>
      <x:c r="C11" s="107" t="str">
        <x:v>Required</x:v>
      </x:c>
      <x:c r="D11" s="108" t="str">
        <x:v>Define what auto-uploads in foreground/background/locked states and what requires reopening the app.</x:v>
      </x:c>
      <x:c r="E11" s="158" t="n">
        <x:f>COUNTIF('Test Cases'!G:G,"*"&amp;A11&amp;"*")</x:f>
        <x:v>0</x:v>
      </x:c>
      <x:c r="F11" s="92"/>
      <x:c r="G11" s="92"/>
      <x:c r="H11" s="92"/>
      <x:c r="I11" s="92"/>
      <x:c r="J11" s="92"/>
      <x:c r="K11" s="92"/>
      <x:c r="L11" s="92"/>
      <x:c r="M11" s="92"/>
      <x:c r="N11" s="92"/>
      <x:c r="O11" s="92"/>
      <x:c r="P11" s="92"/>
      <x:c r="Q11" s="92"/>
      <x:c r="R11" s="92"/>
      <x:c r="S11" s="92"/>
      <x:c r="T11" s="92"/>
      <x:c r="U11" s="92"/>
      <x:c r="V11" s="92"/>
      <x:c r="W11" s="92"/>
      <x:c r="X11" s="92"/>
      <x:c r="Y11" s="92"/>
      <x:c r="Z11" s="92"/>
    </x:row>
    <x:row r="12" ht="58" customHeight="1">
      <x:c r="A12" s="106" t="str">
        <x:v>RQ-11</x:v>
      </x:c>
      <x:c r="B12" s="107" t="str">
        <x:v>5xx/timeout retry policy</x:v>
      </x:c>
      <x:c r="C12" s="107" t="str">
        <x:v>Partially defined</x:v>
      </x:c>
      <x:c r="D12" s="108" t="str">
        <x:v>Architecture states a maximum of three attempts for 5xx. Confirm attempt counting, timeout classification, backoff, jitter, and late-response handling.</x:v>
      </x:c>
      <x:c r="E12" s="158" t="n">
        <x:f>COUNTIF('Test Cases'!G:G,"*"&amp;A12&amp;"*")</x:f>
        <x:v>0</x:v>
      </x:c>
      <x:c r="F12" s="92"/>
      <x:c r="G12" s="92"/>
      <x:c r="H12" s="92"/>
      <x:c r="I12" s="92"/>
      <x:c r="J12" s="92"/>
      <x:c r="K12" s="92"/>
      <x:c r="L12" s="92"/>
      <x:c r="M12" s="92"/>
      <x:c r="N12" s="92"/>
      <x:c r="O12" s="92"/>
      <x:c r="P12" s="92"/>
      <x:c r="Q12" s="92"/>
      <x:c r="R12" s="92"/>
      <x:c r="S12" s="92"/>
      <x:c r="T12" s="92"/>
      <x:c r="U12" s="92"/>
      <x:c r="V12" s="92"/>
      <x:c r="W12" s="92"/>
      <x:c r="X12" s="92"/>
      <x:c r="Y12" s="92"/>
      <x:c r="Z12" s="92"/>
    </x:row>
    <x:row r="13" ht="58" customHeight="1">
      <x:c r="A13" s="106" t="str">
        <x:v>RQ-12</x:v>
      </x:c>
      <x:c r="B13" s="107" t="str">
        <x:v>4xx handling</x:v>
      </x:c>
      <x:c r="C13" s="107" t="str">
        <x:v>Needs confirmation</x:v>
      </x:c>
      <x:c r="D13" s="108" t="str">
        <x:v>Define non-retryable and retryable 4xx classes and user-facing recovery actions.</x:v>
      </x:c>
      <x:c r="E13" s="158" t="n">
        <x:f>COUNTIF('Test Cases'!G:G,"*"&amp;A13&amp;"*")</x:f>
        <x:v>0</x:v>
      </x:c>
      <x:c r="F13" s="92"/>
      <x:c r="G13" s="92"/>
      <x:c r="H13" s="92"/>
      <x:c r="I13" s="92"/>
      <x:c r="J13" s="92"/>
      <x:c r="K13" s="92"/>
      <x:c r="L13" s="92"/>
      <x:c r="M13" s="92"/>
      <x:c r="N13" s="92"/>
      <x:c r="O13" s="92"/>
      <x:c r="P13" s="92"/>
      <x:c r="Q13" s="92"/>
      <x:c r="R13" s="92"/>
      <x:c r="S13" s="92"/>
      <x:c r="T13" s="92"/>
      <x:c r="U13" s="92"/>
      <x:c r="V13" s="92"/>
      <x:c r="W13" s="92"/>
      <x:c r="X13" s="92"/>
      <x:c r="Y13" s="92"/>
      <x:c r="Z13" s="92"/>
    </x:row>
    <x:row r="14" ht="58" customHeight="1">
      <x:c r="A14" s="106" t="str">
        <x:v>RQ-13</x:v>
      </x:c>
      <x:c r="B14" s="107" t="str">
        <x:v>Manual retry/reprocess</x:v>
      </x:c>
      <x:c r="C14" s="107" t="str">
        <x:v>Needs confirmation</x:v>
      </x:c>
      <x:c r="D14" s="108" t="str">
        <x:v>Define who may retry, when retry is available, whether audio is re-uploaded, and how attempts/results are versioned.</x:v>
      </x:c>
      <x:c r="E14" s="158" t="n">
        <x:f>COUNTIF('Test Cases'!G:G,"*"&amp;A14&amp;"*")</x:f>
        <x:v>0</x:v>
      </x:c>
      <x:c r="F14" s="92"/>
      <x:c r="G14" s="92"/>
      <x:c r="H14" s="92"/>
      <x:c r="I14" s="92"/>
      <x:c r="J14" s="92"/>
      <x:c r="K14" s="92"/>
      <x:c r="L14" s="92"/>
      <x:c r="M14" s="92"/>
      <x:c r="N14" s="92"/>
      <x:c r="O14" s="92"/>
      <x:c r="P14" s="92"/>
      <x:c r="Q14" s="92"/>
      <x:c r="R14" s="92"/>
      <x:c r="S14" s="92"/>
      <x:c r="T14" s="92"/>
      <x:c r="U14" s="92"/>
      <x:c r="V14" s="92"/>
      <x:c r="W14" s="92"/>
      <x:c r="X14" s="92"/>
      <x:c r="Y14" s="92"/>
      <x:c r="Z14" s="92"/>
    </x:row>
    <x:row r="15" ht="58" customHeight="1">
      <x:c r="A15" s="106" t="str">
        <x:v>RQ-14</x:v>
      </x:c>
      <x:c r="B15" s="107" t="str">
        <x:v>AI result schema and partial results</x:v>
      </x:c>
      <x:c r="C15" s="107" t="str">
        <x:v>Required</x:v>
      </x:c>
      <x:c r="D15" s="108" t="str">
        <x:v>Define required transcript/annotation fields, schema version, malformed response handling, empty speech result, partial-result state, and confidence handling.</x:v>
      </x:c>
      <x:c r="E15" s="158" t="n">
        <x:f>COUNTIF('Test Cases'!G:G,"*"&amp;A15&amp;"*")</x:f>
        <x:v>0</x:v>
      </x:c>
      <x:c r="F15" s="92"/>
      <x:c r="G15" s="92"/>
      <x:c r="H15" s="92"/>
      <x:c r="I15" s="92"/>
      <x:c r="J15" s="92"/>
      <x:c r="K15" s="92"/>
      <x:c r="L15" s="92"/>
      <x:c r="M15" s="92"/>
      <x:c r="N15" s="92"/>
      <x:c r="O15" s="92"/>
      <x:c r="P15" s="92"/>
      <x:c r="Q15" s="92"/>
      <x:c r="R15" s="92"/>
      <x:c r="S15" s="92"/>
      <x:c r="T15" s="92"/>
      <x:c r="U15" s="92"/>
      <x:c r="V15" s="92"/>
      <x:c r="W15" s="92"/>
      <x:c r="X15" s="92"/>
      <x:c r="Y15" s="92"/>
      <x:c r="Z15" s="92"/>
    </x:row>
    <x:row r="16" ht="58" customHeight="1">
      <x:c r="A16" s="106" t="str">
        <x:v>RQ-15</x:v>
      </x:c>
      <x:c r="B16" s="107" t="str">
        <x:v>Transcript editing and versioning</x:v>
      </x:c>
      <x:c r="C16" s="107" t="str">
        <x:v>Needs confirmation</x:v>
      </x:c>
      <x:c r="D16" s="108" t="str">
        <x:v>Define whether Web App is read-only or editable, original AI result retention, conflict handling, audit trail, and current approved version.</x:v>
      </x:c>
      <x:c r="E16" s="158" t="n">
        <x:f>COUNTIF('Test Cases'!G:G,"*"&amp;A16&amp;"*")</x:f>
        <x:v>0</x:v>
      </x:c>
      <x:c r="F16" s="92"/>
      <x:c r="G16" s="92"/>
      <x:c r="H16" s="92"/>
      <x:c r="I16" s="92"/>
      <x:c r="J16" s="92"/>
      <x:c r="K16" s="92"/>
      <x:c r="L16" s="92"/>
      <x:c r="M16" s="92"/>
      <x:c r="N16" s="92"/>
      <x:c r="O16" s="92"/>
      <x:c r="P16" s="92"/>
      <x:c r="Q16" s="92"/>
      <x:c r="R16" s="92"/>
      <x:c r="S16" s="92"/>
      <x:c r="T16" s="92"/>
      <x:c r="U16" s="92"/>
      <x:c r="V16" s="92"/>
      <x:c r="W16" s="92"/>
      <x:c r="X16" s="92"/>
      <x:c r="Y16" s="92"/>
      <x:c r="Z16" s="92"/>
    </x:row>
    <x:row r="17" ht="58" customHeight="1">
      <x:c r="A17" s="106" t="str">
        <x:v>RQ-16</x:v>
      </x:c>
      <x:c r="B17" s="107" t="str">
        <x:v>PDF source and version</x:v>
      </x:c>
      <x:c r="C17" s="107" t="str">
        <x:v>Required</x:v>
      </x:c>
      <x:c r="D17" s="108" t="str">
        <x:v>Define which transcript/result version is exported, cache invalidation, partial-report rules, naming, metadata, and authorization.</x:v>
      </x:c>
      <x:c r="E17" s="158" t="n">
        <x:f>COUNTIF('Test Cases'!G:G,"*"&amp;A17&amp;"*")</x:f>
        <x:v>0</x:v>
      </x:c>
      <x:c r="F17" s="92"/>
      <x:c r="G17" s="92"/>
      <x:c r="H17" s="92"/>
      <x:c r="I17" s="92"/>
      <x:c r="J17" s="92"/>
      <x:c r="K17" s="92"/>
      <x:c r="L17" s="92"/>
      <x:c r="M17" s="92"/>
      <x:c r="N17" s="92"/>
      <x:c r="O17" s="92"/>
      <x:c r="P17" s="92"/>
      <x:c r="Q17" s="92"/>
      <x:c r="R17" s="92"/>
      <x:c r="S17" s="92"/>
      <x:c r="T17" s="92"/>
      <x:c r="U17" s="92"/>
      <x:c r="V17" s="92"/>
      <x:c r="W17" s="92"/>
      <x:c r="X17" s="92"/>
      <x:c r="Y17" s="92"/>
      <x:c r="Z17" s="92"/>
    </x:row>
    <x:row r="18" ht="58" customHeight="1">
      <x:c r="A18" s="106" t="str">
        <x:v>RQ-17</x:v>
      </x:c>
      <x:c r="B18" s="107" t="str">
        <x:v>Roles and data isolation</x:v>
      </x:c>
      <x:c r="C18" s="107" t="str">
        <x:v>Required</x:v>
      </x:c>
      <x:c r="D18" s="108" t="str">
        <x:v>Define roles, allowed actions, row-level security, device assignment, signed URL access, and logout/session expiry behavior.</x:v>
      </x:c>
      <x:c r="E18" s="158" t="n">
        <x:f>COUNTIF('Test Cases'!G:G,"*"&amp;A18&amp;"*")</x:f>
        <x:v>0</x:v>
      </x:c>
      <x:c r="F18" s="92"/>
      <x:c r="G18" s="92"/>
      <x:c r="H18" s="92"/>
      <x:c r="I18" s="92"/>
      <x:c r="J18" s="92"/>
      <x:c r="K18" s="92"/>
      <x:c r="L18" s="92"/>
      <x:c r="M18" s="92"/>
      <x:c r="N18" s="92"/>
      <x:c r="O18" s="92"/>
      <x:c r="P18" s="92"/>
      <x:c r="Q18" s="92"/>
      <x:c r="R18" s="92"/>
      <x:c r="S18" s="92"/>
      <x:c r="T18" s="92"/>
      <x:c r="U18" s="92"/>
      <x:c r="V18" s="92"/>
      <x:c r="W18" s="92"/>
      <x:c r="X18" s="92"/>
      <x:c r="Y18" s="92"/>
      <x:c r="Z18" s="92"/>
    </x:row>
    <x:row r="19" ht="58" customHeight="1">
      <x:c r="A19" s="106" t="str">
        <x:v>RQ-18</x:v>
      </x:c>
      <x:c r="B19" s="107" t="str">
        <x:v>Deletion and retention</x:v>
      </x:c>
      <x:c r="C19" s="107" t="str">
        <x:v>Required</x:v>
      </x:c>
      <x:c r="D19" s="108" t="str">
        <x:v>Define deletion, recoverable period, backups, audio/transcript/report retention, audit retention, and log redaction.</x:v>
      </x:c>
      <x:c r="E19" s="158" t="n">
        <x:f>COUNTIF('Test Cases'!G:G,"*"&amp;A19&amp;"*")</x:f>
        <x:v>0</x:v>
      </x:c>
      <x:c r="F19" s="92"/>
      <x:c r="G19" s="92"/>
      <x:c r="H19" s="92"/>
      <x:c r="I19" s="92"/>
      <x:c r="J19" s="92"/>
      <x:c r="K19" s="92"/>
      <x:c r="L19" s="92"/>
      <x:c r="M19" s="92"/>
      <x:c r="N19" s="92"/>
      <x:c r="O19" s="92"/>
      <x:c r="P19" s="92"/>
      <x:c r="Q19" s="92"/>
      <x:c r="R19" s="92"/>
      <x:c r="S19" s="92"/>
      <x:c r="T19" s="92"/>
      <x:c r="U19" s="92"/>
      <x:c r="V19" s="92"/>
      <x:c r="W19" s="92"/>
      <x:c r="X19" s="92"/>
      <x:c r="Y19" s="92"/>
      <x:c r="Z19" s="92"/>
    </x:row>
    <x:row r="20" ht="58" customHeight="1">
      <x:c r="A20" s="106" t="str">
        <x:v>RQ-19</x:v>
      </x:c>
      <x:c r="B20" s="107" t="str">
        <x:v>Supported platform matrix</x:v>
      </x:c>
      <x:c r="C20" s="107" t="str">
        <x:v>Required</x:v>
      </x:c>
      <x:c r="D20" s="108" t="str">
        <x:v>Define supported recorder firmware, mobile OS/device versions, browser versions, BLE behavior, and backward-compatibility policy.</x:v>
      </x:c>
      <x:c r="E20" s="158" t="n">
        <x:f>COUNTIF('Test Cases'!G:G,"*"&amp;A20&amp;"*")</x:f>
        <x:v>0</x:v>
      </x:c>
      <x:c r="F20" s="92"/>
      <x:c r="G20" s="92"/>
      <x:c r="H20" s="92"/>
      <x:c r="I20" s="92"/>
      <x:c r="J20" s="92"/>
      <x:c r="K20" s="92"/>
      <x:c r="L20" s="92"/>
      <x:c r="M20" s="92"/>
      <x:c r="N20" s="92"/>
      <x:c r="O20" s="92"/>
      <x:c r="P20" s="92"/>
      <x:c r="Q20" s="92"/>
      <x:c r="R20" s="92"/>
      <x:c r="S20" s="92"/>
      <x:c r="T20" s="92"/>
      <x:c r="U20" s="92"/>
      <x:c r="V20" s="92"/>
      <x:c r="W20" s="92"/>
      <x:c r="X20" s="92"/>
      <x:c r="Y20" s="92"/>
      <x:c r="Z20" s="92"/>
    </x:row>
    <x:row r="21" ht="58" customHeight="1">
      <x:c r="A21" s="106" t="str">
        <x:v>RQ-20</x:v>
      </x:c>
      <x:c r="B21" s="107" t="str">
        <x:v>Performance and reliability SLA</x:v>
      </x:c>
      <x:c r="C21" s="107" t="str">
        <x:v>Needs confirmation</x:v>
      </x:c>
      <x:c r="D21" s="108" t="str">
        <x:v>Define acceptable recording stability, upload time, processing time, PDF time, resource use, retry limits, and maximum stuck-state duration.</x:v>
      </x:c>
      <x:c r="E21" s="158" t="n">
        <x:f>COUNTIF('Test Cases'!G:G,"*"&amp;A21&amp;"*")</x:f>
        <x:v>0</x:v>
      </x:c>
      <x:c r="F21" s="92"/>
      <x:c r="G21" s="92"/>
      <x:c r="H21" s="92"/>
      <x:c r="I21" s="92"/>
      <x:c r="J21" s="92"/>
      <x:c r="K21" s="92"/>
      <x:c r="L21" s="92"/>
      <x:c r="M21" s="92"/>
      <x:c r="N21" s="92"/>
      <x:c r="O21" s="92"/>
      <x:c r="P21" s="92"/>
      <x:c r="Q21" s="92"/>
      <x:c r="R21" s="92"/>
      <x:c r="S21" s="92"/>
      <x:c r="T21" s="92"/>
      <x:c r="U21" s="92"/>
      <x:c r="V21" s="92"/>
      <x:c r="W21" s="92"/>
      <x:c r="X21" s="92"/>
      <x:c r="Y21" s="92"/>
      <x:c r="Z21" s="92"/>
    </x:row>
    <x:row r="22" ht="58" customHeight="1">
      <x:c r="A22" s="106" t="str">
        <x:v>RQ-21</x:v>
      </x:c>
      <x:c r="B22" s="107" t="str">
        <x:v>Direct Wi-Fi versus mobile path</x:v>
      </x:c>
      <x:c r="C22" s="107" t="str">
        <x:v>Needs confirmation</x:v>
      </x:c>
      <x:c r="D22" s="108" t="str">
        <x:v>Define which recordings use each path, whether both may operate for the same source recording, and the backend deduplication rule.</x:v>
      </x:c>
      <x:c r="E22" s="158" t="n">
        <x:f>COUNTIF('Test Cases'!G:G,"*"&amp;A22&amp;"*")</x:f>
        <x:v>0</x:v>
      </x:c>
      <x:c r="F22" s="92"/>
      <x:c r="G22" s="92"/>
      <x:c r="H22" s="92"/>
      <x:c r="I22" s="92"/>
      <x:c r="J22" s="92"/>
      <x:c r="K22" s="92"/>
      <x:c r="L22" s="92"/>
      <x:c r="M22" s="92"/>
      <x:c r="N22" s="92"/>
      <x:c r="O22" s="92"/>
      <x:c r="P22" s="92"/>
      <x:c r="Q22" s="92"/>
      <x:c r="R22" s="92"/>
      <x:c r="S22" s="92"/>
      <x:c r="T22" s="92"/>
      <x:c r="U22" s="92"/>
      <x:c r="V22" s="92"/>
      <x:c r="W22" s="92"/>
      <x:c r="X22" s="92"/>
      <x:c r="Y22" s="92"/>
      <x:c r="Z22" s="92"/>
    </x:row>
    <x:row r="23" ht="58" customHeight="1">
      <x:c r="A23" s="109" t="str">
        <x:v>RQ-22</x:v>
      </x:c>
      <x:c r="B23" s="110" t="str">
        <x:v>Pending data during logout/account switch</x:v>
      </x:c>
      <x:c r="C23" s="110" t="str">
        <x:v>Required</x:v>
      </x:c>
      <x:c r="D23" s="111" t="str">
        <x:v>Define secure ownership, visibility, encryption, upload rights, warnings, and supported app update/reinstall behavior for unsynced sessions.</x:v>
      </x:c>
      <x:c r="E23" s="159" t="n">
        <x:f>COUNTIF('Test Cases'!G:G,"*"&amp;A23&amp;"*")</x:f>
        <x:v>0</x:v>
      </x:c>
      <x:c r="F23" s="92"/>
      <x:c r="G23" s="92"/>
      <x:c r="H23" s="92"/>
      <x:c r="I23" s="92"/>
      <x:c r="J23" s="92"/>
      <x:c r="K23" s="92"/>
      <x:c r="L23" s="92"/>
      <x:c r="M23" s="92"/>
      <x:c r="N23" s="92"/>
      <x:c r="O23" s="92"/>
      <x:c r="P23" s="92"/>
      <x:c r="Q23" s="92"/>
      <x:c r="R23" s="92"/>
      <x:c r="S23" s="92"/>
      <x:c r="T23" s="92"/>
      <x:c r="U23" s="92"/>
      <x:c r="V23" s="92"/>
      <x:c r="W23" s="92"/>
      <x:c r="X23" s="92"/>
      <x:c r="Y23" s="92"/>
      <x:c r="Z23" s="92"/>
    </x:row>
    <x:row r="24">
      <x:c r="A24" s="92"/>
      <x:c r="B24" s="92"/>
      <x:c r="C24" s="92"/>
      <x:c r="D24" s="92"/>
      <x:c r="E24" s="92"/>
      <x:c r="F24" s="92"/>
      <x:c r="G24" s="92"/>
      <x:c r="H24" s="92"/>
      <x:c r="I24" s="92"/>
      <x:c r="J24" s="92"/>
      <x:c r="K24" s="92"/>
      <x:c r="L24" s="92"/>
      <x:c r="M24" s="92"/>
      <x:c r="N24" s="92"/>
      <x:c r="O24" s="92"/>
      <x:c r="P24" s="92"/>
      <x:c r="Q24" s="92"/>
      <x:c r="R24" s="92"/>
      <x:c r="S24" s="92"/>
      <x:c r="T24" s="92"/>
      <x:c r="U24" s="92"/>
      <x:c r="V24" s="92"/>
      <x:c r="W24" s="92"/>
      <x:c r="X24" s="92"/>
      <x:c r="Y24" s="92"/>
      <x:c r="Z24" s="92"/>
    </x:row>
    <x:row r="25">
      <x:c r="A25" s="92"/>
      <x:c r="B25" s="92"/>
      <x:c r="C25" s="92"/>
      <x:c r="D25" s="92"/>
      <x:c r="E25" s="92"/>
      <x:c r="F25" s="92"/>
      <x:c r="G25" s="92"/>
      <x:c r="H25" s="92"/>
      <x:c r="I25" s="92"/>
      <x:c r="J25" s="92"/>
      <x:c r="K25" s="92"/>
      <x:c r="L25" s="92"/>
      <x:c r="M25" s="92"/>
      <x:c r="N25" s="92"/>
      <x:c r="O25" s="92"/>
      <x:c r="P25" s="92"/>
      <x:c r="Q25" s="92"/>
      <x:c r="R25" s="92"/>
      <x:c r="S25" s="92"/>
      <x:c r="T25" s="92"/>
      <x:c r="U25" s="92"/>
      <x:c r="V25" s="92"/>
      <x:c r="W25" s="92"/>
      <x:c r="X25" s="92"/>
      <x:c r="Y25" s="92"/>
      <x:c r="Z25" s="92"/>
    </x:row>
    <x:row r="26">
      <x:c r="A26" s="92"/>
      <x:c r="B26" s="92"/>
      <x:c r="C26" s="92"/>
      <x:c r="D26" s="92"/>
      <x:c r="E26" s="92"/>
      <x:c r="F26" s="92"/>
      <x:c r="G26" s="92"/>
      <x:c r="H26" s="92"/>
      <x:c r="I26" s="92"/>
      <x:c r="J26" s="92"/>
      <x:c r="K26" s="92"/>
      <x:c r="L26" s="92"/>
      <x:c r="M26" s="92"/>
      <x:c r="N26" s="92"/>
      <x:c r="O26" s="92"/>
      <x:c r="P26" s="92"/>
      <x:c r="Q26" s="92"/>
      <x:c r="R26" s="92"/>
      <x:c r="S26" s="92"/>
      <x:c r="T26" s="92"/>
      <x:c r="U26" s="92"/>
      <x:c r="V26" s="92"/>
      <x:c r="W26" s="92"/>
      <x:c r="X26" s="92"/>
      <x:c r="Y26" s="92"/>
      <x:c r="Z26" s="92"/>
    </x:row>
    <x:row r="27">
      <x:c r="A27" s="92"/>
      <x:c r="B27" s="92"/>
      <x:c r="C27" s="92"/>
      <x:c r="D27" s="92"/>
      <x:c r="E27" s="92"/>
      <x:c r="F27" s="92"/>
      <x:c r="G27" s="92"/>
      <x:c r="H27" s="92"/>
      <x:c r="I27" s="92"/>
      <x:c r="J27" s="92"/>
      <x:c r="K27" s="92"/>
      <x:c r="L27" s="92"/>
      <x:c r="M27" s="92"/>
      <x:c r="N27" s="92"/>
      <x:c r="O27" s="92"/>
      <x:c r="P27" s="92"/>
      <x:c r="Q27" s="92"/>
      <x:c r="R27" s="92"/>
      <x:c r="S27" s="92"/>
      <x:c r="T27" s="92"/>
      <x:c r="U27" s="92"/>
      <x:c r="V27" s="92"/>
      <x:c r="W27" s="92"/>
      <x:c r="X27" s="92"/>
      <x:c r="Y27" s="92"/>
      <x:c r="Z27" s="92"/>
    </x:row>
    <x:row r="28">
      <x:c r="A28" s="92"/>
      <x:c r="B28" s="92"/>
      <x:c r="C28" s="92"/>
      <x:c r="D28" s="92"/>
      <x:c r="E28" s="92"/>
      <x:c r="F28" s="92"/>
      <x:c r="G28" s="92"/>
      <x:c r="H28" s="92"/>
      <x:c r="I28" s="92"/>
      <x:c r="J28" s="92"/>
      <x:c r="K28" s="92"/>
      <x:c r="L28" s="92"/>
      <x:c r="M28" s="92"/>
      <x:c r="N28" s="92"/>
      <x:c r="O28" s="92"/>
      <x:c r="P28" s="92"/>
      <x:c r="Q28" s="92"/>
      <x:c r="R28" s="92"/>
      <x:c r="S28" s="92"/>
      <x:c r="T28" s="92"/>
      <x:c r="U28" s="92"/>
      <x:c r="V28" s="92"/>
      <x:c r="W28" s="92"/>
      <x:c r="X28" s="92"/>
      <x:c r="Y28" s="92"/>
      <x:c r="Z28" s="92"/>
    </x:row>
    <x:row r="29">
      <x:c r="A29" s="92"/>
      <x:c r="B29" s="92"/>
      <x:c r="C29" s="92"/>
      <x:c r="D29" s="92"/>
      <x:c r="E29" s="92"/>
      <x:c r="F29" s="92"/>
      <x:c r="G29" s="92"/>
      <x:c r="H29" s="92"/>
      <x:c r="I29" s="92"/>
      <x:c r="J29" s="92"/>
      <x:c r="K29" s="92"/>
      <x:c r="L29" s="92"/>
      <x:c r="M29" s="92"/>
      <x:c r="N29" s="92"/>
      <x:c r="O29" s="92"/>
      <x:c r="P29" s="92"/>
      <x:c r="Q29" s="92"/>
      <x:c r="R29" s="92"/>
      <x:c r="S29" s="92"/>
      <x:c r="T29" s="92"/>
      <x:c r="U29" s="92"/>
      <x:c r="V29" s="92"/>
      <x:c r="W29" s="92"/>
      <x:c r="X29" s="92"/>
      <x:c r="Y29" s="92"/>
      <x:c r="Z29" s="92"/>
    </x:row>
    <x:row r="30">
      <x:c r="A30" s="92"/>
      <x:c r="B30" s="92"/>
      <x:c r="C30" s="92"/>
      <x:c r="D30" s="92"/>
      <x:c r="E30" s="92"/>
      <x:c r="F30" s="92"/>
      <x:c r="G30" s="92"/>
      <x:c r="H30" s="92"/>
      <x:c r="I30" s="92"/>
      <x:c r="J30" s="92"/>
      <x:c r="K30" s="92"/>
      <x:c r="L30" s="92"/>
      <x:c r="M30" s="92"/>
      <x:c r="N30" s="92"/>
      <x:c r="O30" s="92"/>
      <x:c r="P30" s="92"/>
      <x:c r="Q30" s="92"/>
      <x:c r="R30" s="92"/>
      <x:c r="S30" s="92"/>
      <x:c r="T30" s="92"/>
      <x:c r="U30" s="92"/>
      <x:c r="V30" s="92"/>
      <x:c r="W30" s="92"/>
      <x:c r="X30" s="92"/>
      <x:c r="Y30" s="92"/>
      <x:c r="Z30" s="92"/>
    </x:row>
    <x:row r="31">
      <x:c r="A31" s="92"/>
      <x:c r="B31" s="92"/>
      <x:c r="C31" s="92"/>
      <x:c r="D31" s="92"/>
      <x:c r="E31" s="92"/>
      <x:c r="F31" s="92"/>
      <x:c r="G31" s="92"/>
      <x:c r="H31" s="92"/>
      <x:c r="I31" s="92"/>
      <x:c r="J31" s="92"/>
      <x:c r="K31" s="92"/>
      <x:c r="L31" s="92"/>
      <x:c r="M31" s="92"/>
      <x:c r="N31" s="92"/>
      <x:c r="O31" s="92"/>
      <x:c r="P31" s="92"/>
      <x:c r="Q31" s="92"/>
      <x:c r="R31" s="92"/>
      <x:c r="S31" s="92"/>
      <x:c r="T31" s="92"/>
      <x:c r="U31" s="92"/>
      <x:c r="V31" s="92"/>
      <x:c r="W31" s="92"/>
      <x:c r="X31" s="92"/>
      <x:c r="Y31" s="92"/>
      <x:c r="Z31" s="92"/>
    </x:row>
    <x:row r="32">
      <x:c r="A32" s="92"/>
      <x:c r="B32" s="92"/>
      <x:c r="C32" s="92"/>
      <x:c r="D32" s="92"/>
      <x:c r="E32" s="92"/>
      <x:c r="F32" s="92"/>
      <x:c r="G32" s="92"/>
      <x:c r="H32" s="92"/>
      <x:c r="I32" s="92"/>
      <x:c r="J32" s="92"/>
      <x:c r="K32" s="92"/>
      <x:c r="L32" s="92"/>
      <x:c r="M32" s="92"/>
      <x:c r="N32" s="92"/>
      <x:c r="O32" s="92"/>
      <x:c r="P32" s="92"/>
      <x:c r="Q32" s="92"/>
      <x:c r="R32" s="92"/>
      <x:c r="S32" s="92"/>
      <x:c r="T32" s="92"/>
      <x:c r="U32" s="92"/>
      <x:c r="V32" s="92"/>
      <x:c r="W32" s="92"/>
      <x:c r="X32" s="92"/>
      <x:c r="Y32" s="92"/>
      <x:c r="Z32" s="92"/>
    </x:row>
    <x:row r="33">
      <x:c r="A33" s="92"/>
      <x:c r="B33" s="92"/>
      <x:c r="C33" s="92"/>
      <x:c r="D33" s="92"/>
      <x:c r="E33" s="92"/>
      <x:c r="F33" s="92"/>
      <x:c r="G33" s="92"/>
      <x:c r="H33" s="92"/>
      <x:c r="I33" s="92"/>
      <x:c r="J33" s="92"/>
      <x:c r="K33" s="92"/>
      <x:c r="L33" s="92"/>
      <x:c r="M33" s="92"/>
      <x:c r="N33" s="92"/>
      <x:c r="O33" s="92"/>
      <x:c r="P33" s="92"/>
      <x:c r="Q33" s="92"/>
      <x:c r="R33" s="92"/>
      <x:c r="S33" s="92"/>
      <x:c r="T33" s="92"/>
      <x:c r="U33" s="92"/>
      <x:c r="V33" s="92"/>
      <x:c r="W33" s="92"/>
      <x:c r="X33" s="92"/>
      <x:c r="Y33" s="92"/>
      <x:c r="Z33" s="92"/>
    </x:row>
    <x:row r="34">
      <x:c r="A34" s="92"/>
      <x:c r="B34" s="92"/>
      <x:c r="C34" s="92"/>
      <x:c r="D34" s="92"/>
      <x:c r="E34" s="92"/>
      <x:c r="F34" s="92"/>
      <x:c r="G34" s="92"/>
      <x:c r="H34" s="92"/>
      <x:c r="I34" s="92"/>
      <x:c r="J34" s="92"/>
      <x:c r="K34" s="92"/>
      <x:c r="L34" s="92"/>
      <x:c r="M34" s="92"/>
      <x:c r="N34" s="92"/>
      <x:c r="O34" s="92"/>
      <x:c r="P34" s="92"/>
      <x:c r="Q34" s="92"/>
      <x:c r="R34" s="92"/>
      <x:c r="S34" s="92"/>
      <x:c r="T34" s="92"/>
      <x:c r="U34" s="92"/>
      <x:c r="V34" s="92"/>
      <x:c r="W34" s="92"/>
      <x:c r="X34" s="92"/>
      <x:c r="Y34" s="92"/>
      <x:c r="Z34" s="92"/>
    </x:row>
    <x:row r="35">
      <x:c r="A35" s="92"/>
      <x:c r="B35" s="92"/>
      <x:c r="C35" s="92"/>
      <x:c r="D35" s="92"/>
      <x:c r="E35" s="92"/>
      <x:c r="F35" s="92"/>
      <x:c r="G35" s="92"/>
      <x:c r="H35" s="92"/>
      <x:c r="I35" s="92"/>
      <x:c r="J35" s="92"/>
      <x:c r="K35" s="92"/>
      <x:c r="L35" s="92"/>
      <x:c r="M35" s="92"/>
      <x:c r="N35" s="92"/>
      <x:c r="O35" s="92"/>
      <x:c r="P35" s="92"/>
      <x:c r="Q35" s="92"/>
      <x:c r="R35" s="92"/>
      <x:c r="S35" s="92"/>
      <x:c r="T35" s="92"/>
      <x:c r="U35" s="92"/>
      <x:c r="V35" s="92"/>
      <x:c r="W35" s="92"/>
      <x:c r="X35" s="92"/>
      <x:c r="Y35" s="92"/>
      <x:c r="Z35" s="92"/>
    </x:row>
    <x:row r="36">
      <x:c r="A36" s="92"/>
      <x:c r="B36" s="92"/>
      <x:c r="C36" s="92"/>
      <x:c r="D36" s="92"/>
      <x:c r="E36" s="92"/>
      <x:c r="F36" s="92"/>
      <x:c r="G36" s="92"/>
      <x:c r="H36" s="92"/>
      <x:c r="I36" s="92"/>
      <x:c r="J36" s="92"/>
      <x:c r="K36" s="92"/>
      <x:c r="L36" s="92"/>
      <x:c r="M36" s="92"/>
      <x:c r="N36" s="92"/>
      <x:c r="O36" s="92"/>
      <x:c r="P36" s="92"/>
      <x:c r="Q36" s="92"/>
      <x:c r="R36" s="92"/>
      <x:c r="S36" s="92"/>
      <x:c r="T36" s="92"/>
      <x:c r="U36" s="92"/>
      <x:c r="V36" s="92"/>
      <x:c r="W36" s="92"/>
      <x:c r="X36" s="92"/>
      <x:c r="Y36" s="92"/>
      <x:c r="Z36" s="92"/>
    </x:row>
    <x:row r="37">
      <x:c r="A37" s="92"/>
      <x:c r="B37" s="92"/>
      <x:c r="C37" s="92"/>
      <x:c r="D37" s="92"/>
      <x:c r="E37" s="92"/>
      <x:c r="F37" s="92"/>
      <x:c r="G37" s="92"/>
      <x:c r="H37" s="92"/>
      <x:c r="I37" s="92"/>
      <x:c r="J37" s="92"/>
      <x:c r="K37" s="92"/>
      <x:c r="L37" s="92"/>
      <x:c r="M37" s="92"/>
      <x:c r="N37" s="92"/>
      <x:c r="O37" s="92"/>
      <x:c r="P37" s="92"/>
      <x:c r="Q37" s="92"/>
      <x:c r="R37" s="92"/>
      <x:c r="S37" s="92"/>
      <x:c r="T37" s="92"/>
      <x:c r="U37" s="92"/>
      <x:c r="V37" s="92"/>
      <x:c r="W37" s="92"/>
      <x:c r="X37" s="92"/>
      <x:c r="Y37" s="92"/>
      <x:c r="Z37" s="92"/>
    </x:row>
    <x:row r="38">
      <x:c r="A38" s="92"/>
      <x:c r="B38" s="92"/>
      <x:c r="C38" s="92"/>
      <x:c r="D38" s="92"/>
      <x:c r="E38" s="92"/>
      <x:c r="F38" s="92"/>
      <x:c r="G38" s="92"/>
      <x:c r="H38" s="92"/>
      <x:c r="I38" s="92"/>
      <x:c r="J38" s="92"/>
      <x:c r="K38" s="92"/>
      <x:c r="L38" s="92"/>
      <x:c r="M38" s="92"/>
      <x:c r="N38" s="92"/>
      <x:c r="O38" s="92"/>
      <x:c r="P38" s="92"/>
      <x:c r="Q38" s="92"/>
      <x:c r="R38" s="92"/>
      <x:c r="S38" s="92"/>
      <x:c r="T38" s="92"/>
      <x:c r="U38" s="92"/>
      <x:c r="V38" s="92"/>
      <x:c r="W38" s="92"/>
      <x:c r="X38" s="92"/>
      <x:c r="Y38" s="92"/>
      <x:c r="Z38" s="92"/>
    </x:row>
    <x:row r="39">
      <x:c r="A39" s="92"/>
      <x:c r="B39" s="92"/>
      <x:c r="C39" s="92"/>
      <x:c r="D39" s="92"/>
      <x:c r="E39" s="92"/>
      <x:c r="F39" s="92"/>
      <x:c r="G39" s="92"/>
      <x:c r="H39" s="92"/>
      <x:c r="I39" s="92"/>
      <x:c r="J39" s="92"/>
      <x:c r="K39" s="92"/>
      <x:c r="L39" s="92"/>
      <x:c r="M39" s="92"/>
      <x:c r="N39" s="92"/>
      <x:c r="O39" s="92"/>
      <x:c r="P39" s="92"/>
      <x:c r="Q39" s="92"/>
      <x:c r="R39" s="92"/>
      <x:c r="S39" s="92"/>
      <x:c r="T39" s="92"/>
      <x:c r="U39" s="92"/>
      <x:c r="V39" s="92"/>
      <x:c r="W39" s="92"/>
      <x:c r="X39" s="92"/>
      <x:c r="Y39" s="92"/>
      <x:c r="Z39" s="92"/>
    </x:row>
    <x:row r="40">
      <x:c r="A40" s="92"/>
      <x:c r="B40" s="92"/>
      <x:c r="C40" s="92"/>
      <x:c r="D40" s="92"/>
      <x:c r="E40" s="92"/>
      <x:c r="F40" s="92"/>
      <x:c r="G40" s="92"/>
      <x:c r="H40" s="92"/>
      <x:c r="I40" s="92"/>
      <x:c r="J40" s="92"/>
      <x:c r="K40" s="92"/>
      <x:c r="L40" s="92"/>
      <x:c r="M40" s="92"/>
      <x:c r="N40" s="92"/>
      <x:c r="O40" s="92"/>
      <x:c r="P40" s="92"/>
      <x:c r="Q40" s="92"/>
      <x:c r="R40" s="92"/>
      <x:c r="S40" s="92"/>
      <x:c r="T40" s="92"/>
      <x:c r="U40" s="92"/>
      <x:c r="V40" s="92"/>
      <x:c r="W40" s="92"/>
      <x:c r="X40" s="92"/>
      <x:c r="Y40" s="92"/>
      <x:c r="Z40" s="92"/>
    </x:row>
    <x:row r="41">
      <x:c r="A41" s="92"/>
      <x:c r="B41" s="92"/>
      <x:c r="C41" s="92"/>
      <x:c r="D41" s="92"/>
      <x:c r="E41" s="92"/>
      <x:c r="F41" s="92"/>
      <x:c r="G41" s="92"/>
      <x:c r="H41" s="92"/>
      <x:c r="I41" s="92"/>
      <x:c r="J41" s="92"/>
      <x:c r="K41" s="92"/>
      <x:c r="L41" s="92"/>
      <x:c r="M41" s="92"/>
      <x:c r="N41" s="92"/>
      <x:c r="O41" s="92"/>
      <x:c r="P41" s="92"/>
      <x:c r="Q41" s="92"/>
      <x:c r="R41" s="92"/>
      <x:c r="S41" s="92"/>
      <x:c r="T41" s="92"/>
      <x:c r="U41" s="92"/>
      <x:c r="V41" s="92"/>
      <x:c r="W41" s="92"/>
      <x:c r="X41" s="92"/>
      <x:c r="Y41" s="92"/>
      <x:c r="Z41" s="92"/>
    </x:row>
    <x:row r="42">
      <x:c r="A42" s="92"/>
      <x:c r="B42" s="92"/>
      <x:c r="C42" s="92"/>
      <x:c r="D42" s="92"/>
      <x:c r="E42" s="92"/>
      <x:c r="F42" s="92"/>
      <x:c r="G42" s="92"/>
      <x:c r="H42" s="92"/>
      <x:c r="I42" s="92"/>
      <x:c r="J42" s="92"/>
      <x:c r="K42" s="92"/>
      <x:c r="L42" s="92"/>
      <x:c r="M42" s="92"/>
      <x:c r="N42" s="92"/>
      <x:c r="O42" s="92"/>
      <x:c r="P42" s="92"/>
      <x:c r="Q42" s="92"/>
      <x:c r="R42" s="92"/>
      <x:c r="S42" s="92"/>
      <x:c r="T42" s="92"/>
      <x:c r="U42" s="92"/>
      <x:c r="V42" s="92"/>
      <x:c r="W42" s="92"/>
      <x:c r="X42" s="92"/>
      <x:c r="Y42" s="92"/>
      <x:c r="Z42" s="92"/>
    </x:row>
    <x:row r="43">
      <x:c r="A43" s="92"/>
      <x:c r="B43" s="92"/>
      <x:c r="C43" s="92"/>
      <x:c r="D43" s="92"/>
      <x:c r="E43" s="92"/>
      <x:c r="F43" s="92"/>
      <x:c r="G43" s="92"/>
      <x:c r="H43" s="92"/>
      <x:c r="I43" s="92"/>
      <x:c r="J43" s="92"/>
      <x:c r="K43" s="92"/>
      <x:c r="L43" s="92"/>
      <x:c r="M43" s="92"/>
      <x:c r="N43" s="92"/>
      <x:c r="O43" s="92"/>
      <x:c r="P43" s="92"/>
      <x:c r="Q43" s="92"/>
      <x:c r="R43" s="92"/>
      <x:c r="S43" s="92"/>
      <x:c r="T43" s="92"/>
      <x:c r="U43" s="92"/>
      <x:c r="V43" s="92"/>
      <x:c r="W43" s="92"/>
      <x:c r="X43" s="92"/>
      <x:c r="Y43" s="92"/>
      <x:c r="Z43" s="92"/>
    </x:row>
    <x:row r="44">
      <x:c r="A44" s="92"/>
      <x:c r="B44" s="92"/>
      <x:c r="C44" s="92"/>
      <x:c r="D44" s="92"/>
      <x:c r="E44" s="92"/>
      <x:c r="F44" s="92"/>
      <x:c r="G44" s="92"/>
      <x:c r="H44" s="92"/>
      <x:c r="I44" s="92"/>
      <x:c r="J44" s="92"/>
      <x:c r="K44" s="92"/>
      <x:c r="L44" s="92"/>
      <x:c r="M44" s="92"/>
      <x:c r="N44" s="92"/>
      <x:c r="O44" s="92"/>
      <x:c r="P44" s="92"/>
      <x:c r="Q44" s="92"/>
      <x:c r="R44" s="92"/>
      <x:c r="S44" s="92"/>
      <x:c r="T44" s="92"/>
      <x:c r="U44" s="92"/>
      <x:c r="V44" s="92"/>
      <x:c r="W44" s="92"/>
      <x:c r="X44" s="92"/>
      <x:c r="Y44" s="92"/>
      <x:c r="Z44" s="92"/>
    </x:row>
    <x:row r="45">
      <x:c r="A45" s="92"/>
      <x:c r="B45" s="92"/>
      <x:c r="C45" s="92"/>
      <x:c r="D45" s="92"/>
      <x:c r="E45" s="92"/>
      <x:c r="F45" s="92"/>
      <x:c r="G45" s="92"/>
      <x:c r="H45" s="92"/>
      <x:c r="I45" s="92"/>
      <x:c r="J45" s="92"/>
      <x:c r="K45" s="92"/>
      <x:c r="L45" s="92"/>
      <x:c r="M45" s="92"/>
      <x:c r="N45" s="92"/>
      <x:c r="O45" s="92"/>
      <x:c r="P45" s="92"/>
      <x:c r="Q45" s="92"/>
      <x:c r="R45" s="92"/>
      <x:c r="S45" s="92"/>
      <x:c r="T45" s="92"/>
      <x:c r="U45" s="92"/>
      <x:c r="V45" s="92"/>
      <x:c r="W45" s="92"/>
      <x:c r="X45" s="92"/>
      <x:c r="Y45" s="92"/>
      <x:c r="Z45" s="92"/>
    </x:row>
    <x:row r="46">
      <x:c r="A46" s="92"/>
      <x:c r="B46" s="92"/>
      <x:c r="C46" s="92"/>
      <x:c r="D46" s="92"/>
      <x:c r="E46" s="92"/>
      <x:c r="F46" s="92"/>
      <x:c r="G46" s="92"/>
      <x:c r="H46" s="92"/>
      <x:c r="I46" s="92"/>
      <x:c r="J46" s="92"/>
      <x:c r="K46" s="92"/>
      <x:c r="L46" s="92"/>
      <x:c r="M46" s="92"/>
      <x:c r="N46" s="92"/>
      <x:c r="O46" s="92"/>
      <x:c r="P46" s="92"/>
      <x:c r="Q46" s="92"/>
      <x:c r="R46" s="92"/>
      <x:c r="S46" s="92"/>
      <x:c r="T46" s="92"/>
      <x:c r="U46" s="92"/>
      <x:c r="V46" s="92"/>
      <x:c r="W46" s="92"/>
      <x:c r="X46" s="92"/>
      <x:c r="Y46" s="92"/>
      <x:c r="Z46" s="92"/>
    </x:row>
    <x:row r="47">
      <x:c r="A47" s="92"/>
      <x:c r="B47" s="92"/>
      <x:c r="C47" s="92"/>
      <x:c r="D47" s="92"/>
      <x:c r="E47" s="92"/>
      <x:c r="F47" s="92"/>
      <x:c r="G47" s="92"/>
      <x:c r="H47" s="92"/>
      <x:c r="I47" s="92"/>
      <x:c r="J47" s="92"/>
      <x:c r="K47" s="92"/>
      <x:c r="L47" s="92"/>
      <x:c r="M47" s="92"/>
      <x:c r="N47" s="92"/>
      <x:c r="O47" s="92"/>
      <x:c r="P47" s="92"/>
      <x:c r="Q47" s="92"/>
      <x:c r="R47" s="92"/>
      <x:c r="S47" s="92"/>
      <x:c r="T47" s="92"/>
      <x:c r="U47" s="92"/>
      <x:c r="V47" s="92"/>
      <x:c r="W47" s="92"/>
      <x:c r="X47" s="92"/>
      <x:c r="Y47" s="92"/>
      <x:c r="Z47" s="92"/>
    </x:row>
    <x:row r="48">
      <x:c r="A48" s="92"/>
      <x:c r="B48" s="92"/>
      <x:c r="C48" s="92"/>
      <x:c r="D48" s="92"/>
      <x:c r="E48" s="92"/>
      <x:c r="F48" s="92"/>
      <x:c r="G48" s="92"/>
      <x:c r="H48" s="92"/>
      <x:c r="I48" s="92"/>
      <x:c r="J48" s="92"/>
      <x:c r="K48" s="92"/>
      <x:c r="L48" s="92"/>
      <x:c r="M48" s="92"/>
      <x:c r="N48" s="92"/>
      <x:c r="O48" s="92"/>
      <x:c r="P48" s="92"/>
      <x:c r="Q48" s="92"/>
      <x:c r="R48" s="92"/>
      <x:c r="S48" s="92"/>
      <x:c r="T48" s="92"/>
      <x:c r="U48" s="92"/>
      <x:c r="V48" s="92"/>
      <x:c r="W48" s="92"/>
      <x:c r="X48" s="92"/>
      <x:c r="Y48" s="92"/>
      <x:c r="Z48" s="92"/>
    </x:row>
    <x:row r="49">
      <x:c r="A49" s="92"/>
      <x:c r="B49" s="92"/>
      <x:c r="C49" s="92"/>
      <x:c r="D49" s="92"/>
      <x:c r="E49" s="92"/>
      <x:c r="F49" s="92"/>
      <x:c r="G49" s="92"/>
      <x:c r="H49" s="92"/>
      <x:c r="I49" s="92"/>
      <x:c r="J49" s="92"/>
      <x:c r="K49" s="92"/>
      <x:c r="L49" s="92"/>
      <x:c r="M49" s="92"/>
      <x:c r="N49" s="92"/>
      <x:c r="O49" s="92"/>
      <x:c r="P49" s="92"/>
      <x:c r="Q49" s="92"/>
      <x:c r="R49" s="92"/>
      <x:c r="S49" s="92"/>
      <x:c r="T49" s="92"/>
      <x:c r="U49" s="92"/>
      <x:c r="V49" s="92"/>
      <x:c r="W49" s="92"/>
      <x:c r="X49" s="92"/>
      <x:c r="Y49" s="92"/>
      <x:c r="Z49" s="92"/>
    </x:row>
    <x:row r="50">
      <x:c r="A50" s="92"/>
      <x:c r="B50" s="92"/>
      <x:c r="C50" s="92"/>
      <x:c r="D50" s="92"/>
      <x:c r="E50" s="92"/>
      <x:c r="F50" s="92"/>
      <x:c r="G50" s="92"/>
      <x:c r="H50" s="92"/>
      <x:c r="I50" s="92"/>
      <x:c r="J50" s="92"/>
      <x:c r="K50" s="92"/>
      <x:c r="L50" s="92"/>
      <x:c r="M50" s="92"/>
      <x:c r="N50" s="92"/>
      <x:c r="O50" s="92"/>
      <x:c r="P50" s="92"/>
      <x:c r="Q50" s="92"/>
      <x:c r="R50" s="92"/>
      <x:c r="S50" s="92"/>
      <x:c r="T50" s="92"/>
      <x:c r="U50" s="92"/>
      <x:c r="V50" s="92"/>
      <x:c r="W50" s="92"/>
      <x:c r="X50" s="92"/>
      <x:c r="Y50" s="92"/>
      <x:c r="Z50" s="92"/>
    </x:row>
    <x:row r="51">
      <x:c r="A51" s="92"/>
      <x:c r="B51" s="92"/>
      <x:c r="C51" s="92"/>
      <x:c r="D51" s="92"/>
      <x:c r="E51" s="92"/>
      <x:c r="F51" s="92"/>
      <x:c r="G51" s="92"/>
      <x:c r="H51" s="92"/>
      <x:c r="I51" s="92"/>
      <x:c r="J51" s="92"/>
      <x:c r="K51" s="92"/>
      <x:c r="L51" s="92"/>
      <x:c r="M51" s="92"/>
      <x:c r="N51" s="92"/>
      <x:c r="O51" s="92"/>
      <x:c r="P51" s="92"/>
      <x:c r="Q51" s="92"/>
      <x:c r="R51" s="92"/>
      <x:c r="S51" s="92"/>
      <x:c r="T51" s="92"/>
      <x:c r="U51" s="92"/>
      <x:c r="V51" s="92"/>
      <x:c r="W51" s="92"/>
      <x:c r="X51" s="92"/>
      <x:c r="Y51" s="92"/>
      <x:c r="Z51" s="92"/>
    </x:row>
    <x:row r="52">
      <x:c r="A52" s="92"/>
      <x:c r="B52" s="92"/>
      <x:c r="C52" s="92"/>
      <x:c r="D52" s="92"/>
      <x:c r="E52" s="92"/>
      <x:c r="F52" s="92"/>
      <x:c r="G52" s="92"/>
      <x:c r="H52" s="92"/>
      <x:c r="I52" s="92"/>
      <x:c r="J52" s="92"/>
      <x:c r="K52" s="92"/>
      <x:c r="L52" s="92"/>
      <x:c r="M52" s="92"/>
      <x:c r="N52" s="92"/>
      <x:c r="O52" s="92"/>
      <x:c r="P52" s="92"/>
      <x:c r="Q52" s="92"/>
      <x:c r="R52" s="92"/>
      <x:c r="S52" s="92"/>
      <x:c r="T52" s="92"/>
      <x:c r="U52" s="92"/>
      <x:c r="V52" s="92"/>
      <x:c r="W52" s="92"/>
      <x:c r="X52" s="92"/>
      <x:c r="Y52" s="92"/>
      <x:c r="Z52" s="92"/>
    </x:row>
    <x:row r="53">
      <x:c r="A53" s="92"/>
      <x:c r="B53" s="92"/>
      <x:c r="C53" s="92"/>
      <x:c r="D53" s="92"/>
      <x:c r="E53" s="92"/>
      <x:c r="F53" s="92"/>
      <x:c r="G53" s="92"/>
      <x:c r="H53" s="92"/>
      <x:c r="I53" s="92"/>
      <x:c r="J53" s="92"/>
      <x:c r="K53" s="92"/>
      <x:c r="L53" s="92"/>
      <x:c r="M53" s="92"/>
      <x:c r="N53" s="92"/>
      <x:c r="O53" s="92"/>
      <x:c r="P53" s="92"/>
      <x:c r="Q53" s="92"/>
      <x:c r="R53" s="92"/>
      <x:c r="S53" s="92"/>
      <x:c r="T53" s="92"/>
      <x:c r="U53" s="92"/>
      <x:c r="V53" s="92"/>
      <x:c r="W53" s="92"/>
      <x:c r="X53" s="92"/>
      <x:c r="Y53" s="92"/>
      <x:c r="Z53" s="92"/>
    </x:row>
    <x:row r="54">
      <x:c r="A54" s="92"/>
      <x:c r="B54" s="92"/>
      <x:c r="C54" s="92"/>
      <x:c r="D54" s="92"/>
      <x:c r="E54" s="92"/>
      <x:c r="F54" s="92"/>
      <x:c r="G54" s="92"/>
      <x:c r="H54" s="92"/>
      <x:c r="I54" s="92"/>
      <x:c r="J54" s="92"/>
      <x:c r="K54" s="92"/>
      <x:c r="L54" s="92"/>
      <x:c r="M54" s="92"/>
      <x:c r="N54" s="92"/>
      <x:c r="O54" s="92"/>
      <x:c r="P54" s="92"/>
      <x:c r="Q54" s="92"/>
      <x:c r="R54" s="92"/>
      <x:c r="S54" s="92"/>
      <x:c r="T54" s="92"/>
      <x:c r="U54" s="92"/>
      <x:c r="V54" s="92"/>
      <x:c r="W54" s="92"/>
      <x:c r="X54" s="92"/>
      <x:c r="Y54" s="92"/>
      <x:c r="Z54" s="92"/>
    </x:row>
    <x:row r="55">
      <x:c r="A55" s="92"/>
      <x:c r="B55" s="92"/>
      <x:c r="C55" s="92"/>
      <x:c r="D55" s="92"/>
      <x:c r="E55" s="92"/>
      <x:c r="F55" s="92"/>
      <x:c r="G55" s="92"/>
      <x:c r="H55" s="92"/>
      <x:c r="I55" s="92"/>
      <x:c r="J55" s="92"/>
      <x:c r="K55" s="92"/>
      <x:c r="L55" s="92"/>
      <x:c r="M55" s="92"/>
      <x:c r="N55" s="92"/>
      <x:c r="O55" s="92"/>
      <x:c r="P55" s="92"/>
      <x:c r="Q55" s="92"/>
      <x:c r="R55" s="92"/>
      <x:c r="S55" s="92"/>
      <x:c r="T55" s="92"/>
      <x:c r="U55" s="92"/>
      <x:c r="V55" s="92"/>
      <x:c r="W55" s="92"/>
      <x:c r="X55" s="92"/>
      <x:c r="Y55" s="92"/>
      <x:c r="Z55" s="92"/>
    </x:row>
    <x:row r="56">
      <x:c r="A56" s="92"/>
      <x:c r="B56" s="92"/>
      <x:c r="C56" s="92"/>
      <x:c r="D56" s="92"/>
      <x:c r="E56" s="92"/>
      <x:c r="F56" s="92"/>
      <x:c r="G56" s="92"/>
      <x:c r="H56" s="92"/>
      <x:c r="I56" s="92"/>
      <x:c r="J56" s="92"/>
      <x:c r="K56" s="92"/>
      <x:c r="L56" s="92"/>
      <x:c r="M56" s="92"/>
      <x:c r="N56" s="92"/>
      <x:c r="O56" s="92"/>
      <x:c r="P56" s="92"/>
      <x:c r="Q56" s="92"/>
      <x:c r="R56" s="92"/>
      <x:c r="S56" s="92"/>
      <x:c r="T56" s="92"/>
      <x:c r="U56" s="92"/>
      <x:c r="V56" s="92"/>
      <x:c r="W56" s="92"/>
      <x:c r="X56" s="92"/>
      <x:c r="Y56" s="92"/>
      <x:c r="Z56" s="92"/>
    </x:row>
    <x:row r="57">
      <x:c r="A57" s="92"/>
      <x:c r="B57" s="92"/>
      <x:c r="C57" s="92"/>
      <x:c r="D57" s="92"/>
      <x:c r="E57" s="92"/>
      <x:c r="F57" s="92"/>
      <x:c r="G57" s="92"/>
      <x:c r="H57" s="92"/>
      <x:c r="I57" s="92"/>
      <x:c r="J57" s="92"/>
      <x:c r="K57" s="92"/>
      <x:c r="L57" s="92"/>
      <x:c r="M57" s="92"/>
      <x:c r="N57" s="92"/>
      <x:c r="O57" s="92"/>
      <x:c r="P57" s="92"/>
      <x:c r="Q57" s="92"/>
      <x:c r="R57" s="92"/>
      <x:c r="S57" s="92"/>
      <x:c r="T57" s="92"/>
      <x:c r="U57" s="92"/>
      <x:c r="V57" s="92"/>
      <x:c r="W57" s="92"/>
      <x:c r="X57" s="92"/>
      <x:c r="Y57" s="92"/>
      <x:c r="Z57" s="92"/>
    </x:row>
    <x:row r="58">
      <x:c r="A58" s="92"/>
      <x:c r="B58" s="92"/>
      <x:c r="C58" s="92"/>
      <x:c r="D58" s="92"/>
      <x:c r="E58" s="92"/>
      <x:c r="F58" s="92"/>
      <x:c r="G58" s="92"/>
      <x:c r="H58" s="92"/>
      <x:c r="I58" s="92"/>
      <x:c r="J58" s="92"/>
      <x:c r="K58" s="92"/>
      <x:c r="L58" s="92"/>
      <x:c r="M58" s="92"/>
      <x:c r="N58" s="92"/>
      <x:c r="O58" s="92"/>
      <x:c r="P58" s="92"/>
      <x:c r="Q58" s="92"/>
      <x:c r="R58" s="92"/>
      <x:c r="S58" s="92"/>
      <x:c r="T58" s="92"/>
      <x:c r="U58" s="92"/>
      <x:c r="V58" s="92"/>
      <x:c r="W58" s="92"/>
      <x:c r="X58" s="92"/>
      <x:c r="Y58" s="92"/>
      <x:c r="Z58" s="92"/>
    </x:row>
    <x:row r="59">
      <x:c r="A59" s="92"/>
      <x:c r="B59" s="92"/>
      <x:c r="C59" s="92"/>
      <x:c r="D59" s="92"/>
      <x:c r="E59" s="92"/>
      <x:c r="F59" s="92"/>
      <x:c r="G59" s="92"/>
      <x:c r="H59" s="92"/>
      <x:c r="I59" s="92"/>
      <x:c r="J59" s="92"/>
      <x:c r="K59" s="92"/>
      <x:c r="L59" s="92"/>
      <x:c r="M59" s="92"/>
      <x:c r="N59" s="92"/>
      <x:c r="O59" s="92"/>
      <x:c r="P59" s="92"/>
      <x:c r="Q59" s="92"/>
      <x:c r="R59" s="92"/>
      <x:c r="S59" s="92"/>
      <x:c r="T59" s="92"/>
      <x:c r="U59" s="92"/>
      <x:c r="V59" s="92"/>
      <x:c r="W59" s="92"/>
      <x:c r="X59" s="92"/>
      <x:c r="Y59" s="92"/>
      <x:c r="Z59" s="92"/>
    </x:row>
    <x:row r="60">
      <x:c r="A60" s="92"/>
      <x:c r="B60" s="92"/>
      <x:c r="C60" s="92"/>
      <x:c r="D60" s="92"/>
      <x:c r="E60" s="92"/>
      <x:c r="F60" s="92"/>
      <x:c r="G60" s="92"/>
      <x:c r="H60" s="92"/>
      <x:c r="I60" s="92"/>
      <x:c r="J60" s="92"/>
      <x:c r="K60" s="92"/>
      <x:c r="L60" s="92"/>
      <x:c r="M60" s="92"/>
      <x:c r="N60" s="92"/>
      <x:c r="O60" s="92"/>
      <x:c r="P60" s="92"/>
      <x:c r="Q60" s="92"/>
      <x:c r="R60" s="92"/>
      <x:c r="S60" s="92"/>
      <x:c r="T60" s="92"/>
      <x:c r="U60" s="92"/>
      <x:c r="V60" s="92"/>
      <x:c r="W60" s="92"/>
      <x:c r="X60" s="92"/>
      <x:c r="Y60" s="92"/>
      <x:c r="Z60" s="92"/>
    </x:row>
    <x:row r="61">
      <x:c r="A61" s="92"/>
      <x:c r="B61" s="92"/>
      <x:c r="C61" s="92"/>
      <x:c r="D61" s="92"/>
      <x:c r="E61" s="92"/>
      <x:c r="F61" s="92"/>
      <x:c r="G61" s="92"/>
      <x:c r="H61" s="92"/>
      <x:c r="I61" s="92"/>
      <x:c r="J61" s="92"/>
      <x:c r="K61" s="92"/>
      <x:c r="L61" s="92"/>
      <x:c r="M61" s="92"/>
      <x:c r="N61" s="92"/>
      <x:c r="O61" s="92"/>
      <x:c r="P61" s="92"/>
      <x:c r="Q61" s="92"/>
      <x:c r="R61" s="92"/>
      <x:c r="S61" s="92"/>
      <x:c r="T61" s="92"/>
      <x:c r="U61" s="92"/>
      <x:c r="V61" s="92"/>
      <x:c r="W61" s="92"/>
      <x:c r="X61" s="92"/>
      <x:c r="Y61" s="92"/>
      <x:c r="Z61" s="92"/>
    </x:row>
    <x:row r="62">
      <x:c r="A62" s="92"/>
      <x:c r="B62" s="92"/>
      <x:c r="C62" s="92"/>
      <x:c r="D62" s="92"/>
      <x:c r="E62" s="92"/>
      <x:c r="F62" s="92"/>
      <x:c r="G62" s="92"/>
      <x:c r="H62" s="92"/>
      <x:c r="I62" s="92"/>
      <x:c r="J62" s="92"/>
      <x:c r="K62" s="92"/>
      <x:c r="L62" s="92"/>
      <x:c r="M62" s="92"/>
      <x:c r="N62" s="92"/>
      <x:c r="O62" s="92"/>
      <x:c r="P62" s="92"/>
      <x:c r="Q62" s="92"/>
      <x:c r="R62" s="92"/>
      <x:c r="S62" s="92"/>
      <x:c r="T62" s="92"/>
      <x:c r="U62" s="92"/>
      <x:c r="V62" s="92"/>
      <x:c r="W62" s="92"/>
      <x:c r="X62" s="92"/>
      <x:c r="Y62" s="92"/>
      <x:c r="Z62" s="92"/>
    </x:row>
    <x:row r="63">
      <x:c r="A63" s="92"/>
      <x:c r="B63" s="92"/>
      <x:c r="C63" s="92"/>
      <x:c r="D63" s="92"/>
      <x:c r="E63" s="92"/>
      <x:c r="F63" s="92"/>
      <x:c r="G63" s="92"/>
      <x:c r="H63" s="92"/>
      <x:c r="I63" s="92"/>
      <x:c r="J63" s="92"/>
      <x:c r="K63" s="92"/>
      <x:c r="L63" s="92"/>
      <x:c r="M63" s="92"/>
      <x:c r="N63" s="92"/>
      <x:c r="O63" s="92"/>
      <x:c r="P63" s="92"/>
      <x:c r="Q63" s="92"/>
      <x:c r="R63" s="92"/>
      <x:c r="S63" s="92"/>
      <x:c r="T63" s="92"/>
      <x:c r="U63" s="92"/>
      <x:c r="V63" s="92"/>
      <x:c r="W63" s="92"/>
      <x:c r="X63" s="92"/>
      <x:c r="Y63" s="92"/>
      <x:c r="Z63" s="92"/>
    </x:row>
    <x:row r="64">
      <x:c r="A64" s="92"/>
      <x:c r="B64" s="92"/>
      <x:c r="C64" s="92"/>
      <x:c r="D64" s="92"/>
      <x:c r="E64" s="92"/>
      <x:c r="F64" s="92"/>
      <x:c r="G64" s="92"/>
      <x:c r="H64" s="92"/>
      <x:c r="I64" s="92"/>
      <x:c r="J64" s="92"/>
      <x:c r="K64" s="92"/>
      <x:c r="L64" s="92"/>
      <x:c r="M64" s="92"/>
      <x:c r="N64" s="92"/>
      <x:c r="O64" s="92"/>
      <x:c r="P64" s="92"/>
      <x:c r="Q64" s="92"/>
      <x:c r="R64" s="92"/>
      <x:c r="S64" s="92"/>
      <x:c r="T64" s="92"/>
      <x:c r="U64" s="92"/>
      <x:c r="V64" s="92"/>
      <x:c r="W64" s="92"/>
      <x:c r="X64" s="92"/>
      <x:c r="Y64" s="92"/>
      <x:c r="Z64" s="92"/>
    </x:row>
    <x:row r="65">
      <x:c r="A65" s="92"/>
      <x:c r="B65" s="92"/>
      <x:c r="C65" s="92"/>
      <x:c r="D65" s="92"/>
      <x:c r="E65" s="92"/>
      <x:c r="F65" s="92"/>
      <x:c r="G65" s="92"/>
      <x:c r="H65" s="92"/>
      <x:c r="I65" s="92"/>
      <x:c r="J65" s="92"/>
      <x:c r="K65" s="92"/>
      <x:c r="L65" s="92"/>
      <x:c r="M65" s="92"/>
      <x:c r="N65" s="92"/>
      <x:c r="O65" s="92"/>
      <x:c r="P65" s="92"/>
      <x:c r="Q65" s="92"/>
      <x:c r="R65" s="92"/>
      <x:c r="S65" s="92"/>
      <x:c r="T65" s="92"/>
      <x:c r="U65" s="92"/>
      <x:c r="V65" s="92"/>
      <x:c r="W65" s="92"/>
      <x:c r="X65" s="92"/>
      <x:c r="Y65" s="92"/>
      <x:c r="Z65" s="92"/>
    </x:row>
    <x:row r="66">
      <x:c r="A66" s="92"/>
      <x:c r="B66" s="92"/>
      <x:c r="C66" s="92"/>
      <x:c r="D66" s="92"/>
      <x:c r="E66" s="92"/>
      <x:c r="F66" s="92"/>
      <x:c r="G66" s="92"/>
      <x:c r="H66" s="92"/>
      <x:c r="I66" s="92"/>
      <x:c r="J66" s="92"/>
      <x:c r="K66" s="92"/>
      <x:c r="L66" s="92"/>
      <x:c r="M66" s="92"/>
      <x:c r="N66" s="92"/>
      <x:c r="O66" s="92"/>
      <x:c r="P66" s="92"/>
      <x:c r="Q66" s="92"/>
      <x:c r="R66" s="92"/>
      <x:c r="S66" s="92"/>
      <x:c r="T66" s="92"/>
      <x:c r="U66" s="92"/>
      <x:c r="V66" s="92"/>
      <x:c r="W66" s="92"/>
      <x:c r="X66" s="92"/>
      <x:c r="Y66" s="92"/>
      <x:c r="Z66" s="92"/>
    </x:row>
    <x:row r="67">
      <x:c r="A67" s="92"/>
      <x:c r="B67" s="92"/>
      <x:c r="C67" s="92"/>
      <x:c r="D67" s="92"/>
      <x:c r="E67" s="92"/>
      <x:c r="F67" s="92"/>
      <x:c r="G67" s="92"/>
      <x:c r="H67" s="92"/>
      <x:c r="I67" s="92"/>
      <x:c r="J67" s="92"/>
      <x:c r="K67" s="92"/>
      <x:c r="L67" s="92"/>
      <x:c r="M67" s="92"/>
      <x:c r="N67" s="92"/>
      <x:c r="O67" s="92"/>
      <x:c r="P67" s="92"/>
      <x:c r="Q67" s="92"/>
      <x:c r="R67" s="92"/>
      <x:c r="S67" s="92"/>
      <x:c r="T67" s="92"/>
      <x:c r="U67" s="92"/>
      <x:c r="V67" s="92"/>
      <x:c r="W67" s="92"/>
      <x:c r="X67" s="92"/>
      <x:c r="Y67" s="92"/>
      <x:c r="Z67" s="92"/>
    </x:row>
    <x:row r="68">
      <x:c r="A68" s="92"/>
      <x:c r="B68" s="92"/>
      <x:c r="C68" s="92"/>
      <x:c r="D68" s="92"/>
      <x:c r="E68" s="92"/>
      <x:c r="F68" s="92"/>
      <x:c r="G68" s="92"/>
      <x:c r="H68" s="92"/>
      <x:c r="I68" s="92"/>
      <x:c r="J68" s="92"/>
      <x:c r="K68" s="92"/>
      <x:c r="L68" s="92"/>
      <x:c r="M68" s="92"/>
      <x:c r="N68" s="92"/>
      <x:c r="O68" s="92"/>
      <x:c r="P68" s="92"/>
      <x:c r="Q68" s="92"/>
      <x:c r="R68" s="92"/>
      <x:c r="S68" s="92"/>
      <x:c r="T68" s="92"/>
      <x:c r="U68" s="92"/>
      <x:c r="V68" s="92"/>
      <x:c r="W68" s="92"/>
      <x:c r="X68" s="92"/>
      <x:c r="Y68" s="92"/>
      <x:c r="Z68" s="92"/>
    </x:row>
    <x:row r="69">
      <x:c r="A69" s="92"/>
      <x:c r="B69" s="92"/>
      <x:c r="C69" s="92"/>
      <x:c r="D69" s="92"/>
      <x:c r="E69" s="92"/>
      <x:c r="F69" s="92"/>
      <x:c r="G69" s="92"/>
      <x:c r="H69" s="92"/>
      <x:c r="I69" s="92"/>
      <x:c r="J69" s="92"/>
      <x:c r="K69" s="92"/>
      <x:c r="L69" s="92"/>
      <x:c r="M69" s="92"/>
      <x:c r="N69" s="92"/>
      <x:c r="O69" s="92"/>
      <x:c r="P69" s="92"/>
      <x:c r="Q69" s="92"/>
      <x:c r="R69" s="92"/>
      <x:c r="S69" s="92"/>
      <x:c r="T69" s="92"/>
      <x:c r="U69" s="92"/>
      <x:c r="V69" s="92"/>
      <x:c r="W69" s="92"/>
      <x:c r="X69" s="92"/>
      <x:c r="Y69" s="92"/>
      <x:c r="Z69" s="92"/>
    </x:row>
    <x:row r="70">
      <x:c r="A70" s="92"/>
      <x:c r="B70" s="92"/>
      <x:c r="C70" s="92"/>
      <x:c r="D70" s="92"/>
      <x:c r="E70" s="92"/>
      <x:c r="F70" s="92"/>
      <x:c r="G70" s="92"/>
      <x:c r="H70" s="92"/>
      <x:c r="I70" s="92"/>
      <x:c r="J70" s="92"/>
      <x:c r="K70" s="92"/>
      <x:c r="L70" s="92"/>
      <x:c r="M70" s="92"/>
      <x:c r="N70" s="92"/>
      <x:c r="O70" s="92"/>
      <x:c r="P70" s="92"/>
      <x:c r="Q70" s="92"/>
      <x:c r="R70" s="92"/>
      <x:c r="S70" s="92"/>
      <x:c r="T70" s="92"/>
      <x:c r="U70" s="92"/>
      <x:c r="V70" s="92"/>
      <x:c r="W70" s="92"/>
      <x:c r="X70" s="92"/>
      <x:c r="Y70" s="92"/>
      <x:c r="Z70" s="92"/>
    </x:row>
    <x:row r="71">
      <x:c r="A71" s="92"/>
      <x:c r="B71" s="92"/>
      <x:c r="C71" s="92"/>
      <x:c r="D71" s="92"/>
      <x:c r="E71" s="92"/>
      <x:c r="F71" s="92"/>
      <x:c r="G71" s="92"/>
      <x:c r="H71" s="92"/>
      <x:c r="I71" s="92"/>
      <x:c r="J71" s="92"/>
      <x:c r="K71" s="92"/>
      <x:c r="L71" s="92"/>
      <x:c r="M71" s="92"/>
      <x:c r="N71" s="92"/>
      <x:c r="O71" s="92"/>
      <x:c r="P71" s="92"/>
      <x:c r="Q71" s="92"/>
      <x:c r="R71" s="92"/>
      <x:c r="S71" s="92"/>
      <x:c r="T71" s="92"/>
      <x:c r="U71" s="92"/>
      <x:c r="V71" s="92"/>
      <x:c r="W71" s="92"/>
      <x:c r="X71" s="92"/>
      <x:c r="Y71" s="92"/>
      <x:c r="Z71" s="92"/>
    </x:row>
    <x:row r="72">
      <x:c r="A72" s="92"/>
      <x:c r="B72" s="92"/>
      <x:c r="C72" s="92"/>
      <x:c r="D72" s="92"/>
      <x:c r="E72" s="92"/>
      <x:c r="F72" s="92"/>
      <x:c r="G72" s="92"/>
      <x:c r="H72" s="92"/>
      <x:c r="I72" s="92"/>
      <x:c r="J72" s="92"/>
      <x:c r="K72" s="92"/>
      <x:c r="L72" s="92"/>
      <x:c r="M72" s="92"/>
      <x:c r="N72" s="92"/>
      <x:c r="O72" s="92"/>
      <x:c r="P72" s="92"/>
      <x:c r="Q72" s="92"/>
      <x:c r="R72" s="92"/>
      <x:c r="S72" s="92"/>
      <x:c r="T72" s="92"/>
      <x:c r="U72" s="92"/>
      <x:c r="V72" s="92"/>
      <x:c r="W72" s="92"/>
      <x:c r="X72" s="92"/>
      <x:c r="Y72" s="92"/>
      <x:c r="Z72" s="92"/>
    </x:row>
    <x:row r="73">
      <x:c r="A73" s="92"/>
      <x:c r="B73" s="92"/>
      <x:c r="C73" s="92"/>
      <x:c r="D73" s="92"/>
      <x:c r="E73" s="92"/>
      <x:c r="F73" s="92"/>
      <x:c r="G73" s="92"/>
      <x:c r="H73" s="92"/>
      <x:c r="I73" s="92"/>
      <x:c r="J73" s="92"/>
      <x:c r="K73" s="92"/>
      <x:c r="L73" s="92"/>
      <x:c r="M73" s="92"/>
      <x:c r="N73" s="92"/>
      <x:c r="O73" s="92"/>
      <x:c r="P73" s="92"/>
      <x:c r="Q73" s="92"/>
      <x:c r="R73" s="92"/>
      <x:c r="S73" s="92"/>
      <x:c r="T73" s="92"/>
      <x:c r="U73" s="92"/>
      <x:c r="V73" s="92"/>
      <x:c r="W73" s="92"/>
      <x:c r="X73" s="92"/>
      <x:c r="Y73" s="92"/>
      <x:c r="Z73" s="92"/>
    </x:row>
    <x:row r="74">
      <x:c r="A74" s="92"/>
      <x:c r="B74" s="92"/>
      <x:c r="C74" s="92"/>
      <x:c r="D74" s="92"/>
      <x:c r="E74" s="92"/>
      <x:c r="F74" s="92"/>
      <x:c r="G74" s="92"/>
      <x:c r="H74" s="92"/>
      <x:c r="I74" s="92"/>
      <x:c r="J74" s="92"/>
      <x:c r="K74" s="92"/>
      <x:c r="L74" s="92"/>
      <x:c r="M74" s="92"/>
      <x:c r="N74" s="92"/>
      <x:c r="O74" s="92"/>
      <x:c r="P74" s="92"/>
      <x:c r="Q74" s="92"/>
      <x:c r="R74" s="92"/>
      <x:c r="S74" s="92"/>
      <x:c r="T74" s="92"/>
      <x:c r="U74" s="92"/>
      <x:c r="V74" s="92"/>
      <x:c r="W74" s="92"/>
      <x:c r="X74" s="92"/>
      <x:c r="Y74" s="92"/>
      <x:c r="Z74" s="92"/>
    </x:row>
    <x:row r="75">
      <x:c r="A75" s="92"/>
      <x:c r="B75" s="92"/>
      <x:c r="C75" s="92"/>
      <x:c r="D75" s="92"/>
      <x:c r="E75" s="92"/>
      <x:c r="F75" s="92"/>
      <x:c r="G75" s="92"/>
      <x:c r="H75" s="92"/>
      <x:c r="I75" s="92"/>
      <x:c r="J75" s="92"/>
      <x:c r="K75" s="92"/>
      <x:c r="L75" s="92"/>
      <x:c r="M75" s="92"/>
      <x:c r="N75" s="92"/>
      <x:c r="O75" s="92"/>
      <x:c r="P75" s="92"/>
      <x:c r="Q75" s="92"/>
      <x:c r="R75" s="92"/>
      <x:c r="S75" s="92"/>
      <x:c r="T75" s="92"/>
      <x:c r="U75" s="92"/>
      <x:c r="V75" s="92"/>
      <x:c r="W75" s="92"/>
      <x:c r="X75" s="92"/>
      <x:c r="Y75" s="92"/>
      <x:c r="Z75" s="92"/>
    </x:row>
    <x:row r="76">
      <x:c r="A76" s="92"/>
      <x:c r="B76" s="92"/>
      <x:c r="C76" s="92"/>
      <x:c r="D76" s="92"/>
      <x:c r="E76" s="92"/>
      <x:c r="F76" s="92"/>
      <x:c r="G76" s="92"/>
      <x:c r="H76" s="92"/>
      <x:c r="I76" s="92"/>
      <x:c r="J76" s="92"/>
      <x:c r="K76" s="92"/>
      <x:c r="L76" s="92"/>
      <x:c r="M76" s="92"/>
      <x:c r="N76" s="92"/>
      <x:c r="O76" s="92"/>
      <x:c r="P76" s="92"/>
      <x:c r="Q76" s="92"/>
      <x:c r="R76" s="92"/>
      <x:c r="S76" s="92"/>
      <x:c r="T76" s="92"/>
      <x:c r="U76" s="92"/>
      <x:c r="V76" s="92"/>
      <x:c r="W76" s="92"/>
      <x:c r="X76" s="92"/>
      <x:c r="Y76" s="92"/>
      <x:c r="Z76" s="92"/>
    </x:row>
    <x:row r="77">
      <x:c r="A77" s="92"/>
      <x:c r="B77" s="92"/>
      <x:c r="C77" s="92"/>
      <x:c r="D77" s="92"/>
      <x:c r="E77" s="92"/>
      <x:c r="F77" s="92"/>
      <x:c r="G77" s="92"/>
      <x:c r="H77" s="92"/>
      <x:c r="I77" s="92"/>
      <x:c r="J77" s="92"/>
      <x:c r="K77" s="92"/>
      <x:c r="L77" s="92"/>
      <x:c r="M77" s="92"/>
      <x:c r="N77" s="92"/>
      <x:c r="O77" s="92"/>
      <x:c r="P77" s="92"/>
      <x:c r="Q77" s="92"/>
      <x:c r="R77" s="92"/>
      <x:c r="S77" s="92"/>
      <x:c r="T77" s="92"/>
      <x:c r="U77" s="92"/>
      <x:c r="V77" s="92"/>
      <x:c r="W77" s="92"/>
      <x:c r="X77" s="92"/>
      <x:c r="Y77" s="92"/>
      <x:c r="Z77" s="92"/>
    </x:row>
    <x:row r="78">
      <x:c r="A78" s="92"/>
      <x:c r="B78" s="92"/>
      <x:c r="C78" s="92"/>
      <x:c r="D78" s="92"/>
      <x:c r="E78" s="92"/>
      <x:c r="F78" s="92"/>
      <x:c r="G78" s="92"/>
      <x:c r="H78" s="92"/>
      <x:c r="I78" s="92"/>
      <x:c r="J78" s="92"/>
      <x:c r="K78" s="92"/>
      <x:c r="L78" s="92"/>
      <x:c r="M78" s="92"/>
      <x:c r="N78" s="92"/>
      <x:c r="O78" s="92"/>
      <x:c r="P78" s="92"/>
      <x:c r="Q78" s="92"/>
      <x:c r="R78" s="92"/>
      <x:c r="S78" s="92"/>
      <x:c r="T78" s="92"/>
      <x:c r="U78" s="92"/>
      <x:c r="V78" s="92"/>
      <x:c r="W78" s="92"/>
      <x:c r="X78" s="92"/>
      <x:c r="Y78" s="92"/>
      <x:c r="Z78" s="92"/>
    </x:row>
    <x:row r="79">
      <x:c r="A79" s="92"/>
      <x:c r="B79" s="92"/>
      <x:c r="C79" s="92"/>
      <x:c r="D79" s="92"/>
      <x:c r="E79" s="92"/>
      <x:c r="F79" s="92"/>
      <x:c r="G79" s="92"/>
      <x:c r="H79" s="92"/>
      <x:c r="I79" s="92"/>
      <x:c r="J79" s="92"/>
      <x:c r="K79" s="92"/>
      <x:c r="L79" s="92"/>
      <x:c r="M79" s="92"/>
      <x:c r="N79" s="92"/>
      <x:c r="O79" s="92"/>
      <x:c r="P79" s="92"/>
      <x:c r="Q79" s="92"/>
      <x:c r="R79" s="92"/>
      <x:c r="S79" s="92"/>
      <x:c r="T79" s="92"/>
      <x:c r="U79" s="92"/>
      <x:c r="V79" s="92"/>
      <x:c r="W79" s="92"/>
      <x:c r="X79" s="92"/>
      <x:c r="Y79" s="92"/>
      <x:c r="Z79" s="92"/>
    </x:row>
    <x:row r="80">
      <x:c r="A80" s="92"/>
      <x:c r="B80" s="92"/>
      <x:c r="C80" s="92"/>
      <x:c r="D80" s="92"/>
      <x:c r="E80" s="92"/>
      <x:c r="F80" s="92"/>
      <x:c r="G80" s="92"/>
      <x:c r="H80" s="92"/>
      <x:c r="I80" s="92"/>
      <x:c r="J80" s="92"/>
      <x:c r="K80" s="92"/>
      <x:c r="L80" s="92"/>
      <x:c r="M80" s="92"/>
      <x:c r="N80" s="92"/>
      <x:c r="O80" s="92"/>
      <x:c r="P80" s="92"/>
      <x:c r="Q80" s="92"/>
      <x:c r="R80" s="92"/>
      <x:c r="S80" s="92"/>
      <x:c r="T80" s="92"/>
      <x:c r="U80" s="92"/>
      <x:c r="V80" s="92"/>
      <x:c r="W80" s="92"/>
      <x:c r="X80" s="92"/>
      <x:c r="Y80" s="92"/>
      <x:c r="Z80" s="92"/>
    </x:row>
    <x:row r="81">
      <x:c r="A81" s="92"/>
      <x:c r="B81" s="92"/>
      <x:c r="C81" s="92"/>
      <x:c r="D81" s="92"/>
      <x:c r="E81" s="92"/>
      <x:c r="F81" s="92"/>
      <x:c r="G81" s="92"/>
      <x:c r="H81" s="92"/>
      <x:c r="I81" s="92"/>
      <x:c r="J81" s="92"/>
      <x:c r="K81" s="92"/>
      <x:c r="L81" s="92"/>
      <x:c r="M81" s="92"/>
      <x:c r="N81" s="92"/>
      <x:c r="O81" s="92"/>
      <x:c r="P81" s="92"/>
      <x:c r="Q81" s="92"/>
      <x:c r="R81" s="92"/>
      <x:c r="S81" s="92"/>
      <x:c r="T81" s="92"/>
      <x:c r="U81" s="92"/>
      <x:c r="V81" s="92"/>
      <x:c r="W81" s="92"/>
      <x:c r="X81" s="92"/>
      <x:c r="Y81" s="92"/>
      <x:c r="Z81" s="92"/>
    </x:row>
    <x:row r="82">
      <x:c r="A82" s="92"/>
      <x:c r="B82" s="92"/>
      <x:c r="C82" s="92"/>
      <x:c r="D82" s="92"/>
      <x:c r="E82" s="92"/>
      <x:c r="F82" s="92"/>
      <x:c r="G82" s="92"/>
      <x:c r="H82" s="92"/>
      <x:c r="I82" s="92"/>
      <x:c r="J82" s="92"/>
      <x:c r="K82" s="92"/>
      <x:c r="L82" s="92"/>
      <x:c r="M82" s="92"/>
      <x:c r="N82" s="92"/>
      <x:c r="O82" s="92"/>
      <x:c r="P82" s="92"/>
      <x:c r="Q82" s="92"/>
      <x:c r="R82" s="92"/>
      <x:c r="S82" s="92"/>
      <x:c r="T82" s="92"/>
      <x:c r="U82" s="92"/>
      <x:c r="V82" s="92"/>
      <x:c r="W82" s="92"/>
      <x:c r="X82" s="92"/>
      <x:c r="Y82" s="92"/>
      <x:c r="Z82" s="92"/>
    </x:row>
    <x:row r="83">
      <x:c r="A83" s="92"/>
      <x:c r="B83" s="92"/>
      <x:c r="C83" s="92"/>
      <x:c r="D83" s="92"/>
      <x:c r="E83" s="92"/>
      <x:c r="F83" s="92"/>
      <x:c r="G83" s="92"/>
      <x:c r="H83" s="92"/>
      <x:c r="I83" s="92"/>
      <x:c r="J83" s="92"/>
      <x:c r="K83" s="92"/>
      <x:c r="L83" s="92"/>
      <x:c r="M83" s="92"/>
      <x:c r="N83" s="92"/>
      <x:c r="O83" s="92"/>
      <x:c r="P83" s="92"/>
      <x:c r="Q83" s="92"/>
      <x:c r="R83" s="92"/>
      <x:c r="S83" s="92"/>
      <x:c r="T83" s="92"/>
      <x:c r="U83" s="92"/>
      <x:c r="V83" s="92"/>
      <x:c r="W83" s="92"/>
      <x:c r="X83" s="92"/>
      <x:c r="Y83" s="92"/>
      <x:c r="Z83" s="92"/>
    </x:row>
    <x:row r="84">
      <x:c r="A84" s="92"/>
      <x:c r="B84" s="92"/>
      <x:c r="C84" s="92"/>
      <x:c r="D84" s="92"/>
      <x:c r="E84" s="92"/>
      <x:c r="F84" s="92"/>
      <x:c r="G84" s="92"/>
      <x:c r="H84" s="92"/>
      <x:c r="I84" s="92"/>
      <x:c r="J84" s="92"/>
      <x:c r="K84" s="92"/>
      <x:c r="L84" s="92"/>
      <x:c r="M84" s="92"/>
      <x:c r="N84" s="92"/>
      <x:c r="O84" s="92"/>
      <x:c r="P84" s="92"/>
      <x:c r="Q84" s="92"/>
      <x:c r="R84" s="92"/>
      <x:c r="S84" s="92"/>
      <x:c r="T84" s="92"/>
      <x:c r="U84" s="92"/>
      <x:c r="V84" s="92"/>
      <x:c r="W84" s="92"/>
      <x:c r="X84" s="92"/>
      <x:c r="Y84" s="92"/>
      <x:c r="Z84" s="92"/>
    </x:row>
    <x:row r="85">
      <x:c r="A85" s="92"/>
      <x:c r="B85" s="92"/>
      <x:c r="C85" s="92"/>
      <x:c r="D85" s="92"/>
      <x:c r="E85" s="92"/>
      <x:c r="F85" s="92"/>
      <x:c r="G85" s="92"/>
      <x:c r="H85" s="92"/>
      <x:c r="I85" s="92"/>
      <x:c r="J85" s="92"/>
      <x:c r="K85" s="92"/>
      <x:c r="L85" s="92"/>
      <x:c r="M85" s="92"/>
      <x:c r="N85" s="92"/>
      <x:c r="O85" s="92"/>
      <x:c r="P85" s="92"/>
      <x:c r="Q85" s="92"/>
      <x:c r="R85" s="92"/>
      <x:c r="S85" s="92"/>
      <x:c r="T85" s="92"/>
      <x:c r="U85" s="92"/>
      <x:c r="V85" s="92"/>
      <x:c r="W85" s="92"/>
      <x:c r="X85" s="92"/>
      <x:c r="Y85" s="92"/>
      <x:c r="Z85" s="92"/>
    </x:row>
    <x:row r="86">
      <x:c r="A86" s="92"/>
      <x:c r="B86" s="92"/>
      <x:c r="C86" s="92"/>
      <x:c r="D86" s="92"/>
      <x:c r="E86" s="92"/>
      <x:c r="F86" s="92"/>
      <x:c r="G86" s="92"/>
      <x:c r="H86" s="92"/>
      <x:c r="I86" s="92"/>
      <x:c r="J86" s="92"/>
      <x:c r="K86" s="92"/>
      <x:c r="L86" s="92"/>
      <x:c r="M86" s="92"/>
      <x:c r="N86" s="92"/>
      <x:c r="O86" s="92"/>
      <x:c r="P86" s="92"/>
      <x:c r="Q86" s="92"/>
      <x:c r="R86" s="92"/>
      <x:c r="S86" s="92"/>
      <x:c r="T86" s="92"/>
      <x:c r="U86" s="92"/>
      <x:c r="V86" s="92"/>
      <x:c r="W86" s="92"/>
      <x:c r="X86" s="92"/>
      <x:c r="Y86" s="92"/>
      <x:c r="Z86" s="92"/>
    </x:row>
    <x:row r="87">
      <x:c r="A87" s="92"/>
      <x:c r="B87" s="92"/>
      <x:c r="C87" s="92"/>
      <x:c r="D87" s="92"/>
      <x:c r="E87" s="92"/>
      <x:c r="F87" s="92"/>
      <x:c r="G87" s="92"/>
      <x:c r="H87" s="92"/>
      <x:c r="I87" s="92"/>
      <x:c r="J87" s="92"/>
      <x:c r="K87" s="92"/>
      <x:c r="L87" s="92"/>
      <x:c r="M87" s="92"/>
      <x:c r="N87" s="92"/>
      <x:c r="O87" s="92"/>
      <x:c r="P87" s="92"/>
      <x:c r="Q87" s="92"/>
      <x:c r="R87" s="92"/>
      <x:c r="S87" s="92"/>
      <x:c r="T87" s="92"/>
      <x:c r="U87" s="92"/>
      <x:c r="V87" s="92"/>
      <x:c r="W87" s="92"/>
      <x:c r="X87" s="92"/>
      <x:c r="Y87" s="92"/>
      <x:c r="Z87" s="92"/>
    </x:row>
    <x:row r="88">
      <x:c r="A88" s="92"/>
      <x:c r="B88" s="92"/>
      <x:c r="C88" s="92"/>
      <x:c r="D88" s="92"/>
      <x:c r="E88" s="92"/>
      <x:c r="F88" s="92"/>
      <x:c r="G88" s="92"/>
      <x:c r="H88" s="92"/>
      <x:c r="I88" s="92"/>
      <x:c r="J88" s="92"/>
      <x:c r="K88" s="92"/>
      <x:c r="L88" s="92"/>
      <x:c r="M88" s="92"/>
      <x:c r="N88" s="92"/>
      <x:c r="O88" s="92"/>
      <x:c r="P88" s="92"/>
      <x:c r="Q88" s="92"/>
      <x:c r="R88" s="92"/>
      <x:c r="S88" s="92"/>
      <x:c r="T88" s="92"/>
      <x:c r="U88" s="92"/>
      <x:c r="V88" s="92"/>
      <x:c r="W88" s="92"/>
      <x:c r="X88" s="92"/>
      <x:c r="Y88" s="92"/>
      <x:c r="Z88" s="92"/>
    </x:row>
    <x:row r="89">
      <x:c r="A89" s="92"/>
      <x:c r="B89" s="92"/>
      <x:c r="C89" s="92"/>
      <x:c r="D89" s="92"/>
      <x:c r="E89" s="92"/>
      <x:c r="F89" s="92"/>
      <x:c r="G89" s="92"/>
      <x:c r="H89" s="92"/>
      <x:c r="I89" s="92"/>
      <x:c r="J89" s="92"/>
      <x:c r="K89" s="92"/>
      <x:c r="L89" s="92"/>
      <x:c r="M89" s="92"/>
      <x:c r="N89" s="92"/>
      <x:c r="O89" s="92"/>
      <x:c r="P89" s="92"/>
      <x:c r="Q89" s="92"/>
      <x:c r="R89" s="92"/>
      <x:c r="S89" s="92"/>
      <x:c r="T89" s="92"/>
      <x:c r="U89" s="92"/>
      <x:c r="V89" s="92"/>
      <x:c r="W89" s="92"/>
      <x:c r="X89" s="92"/>
      <x:c r="Y89" s="92"/>
      <x:c r="Z89" s="92"/>
    </x:row>
    <x:row r="90">
      <x:c r="A90" s="92"/>
      <x:c r="B90" s="92"/>
      <x:c r="C90" s="92"/>
      <x:c r="D90" s="92"/>
      <x:c r="E90" s="92"/>
      <x:c r="F90" s="92"/>
      <x:c r="G90" s="92"/>
      <x:c r="H90" s="92"/>
      <x:c r="I90" s="92"/>
      <x:c r="J90" s="92"/>
      <x:c r="K90" s="92"/>
      <x:c r="L90" s="92"/>
      <x:c r="M90" s="92"/>
      <x:c r="N90" s="92"/>
      <x:c r="O90" s="92"/>
      <x:c r="P90" s="92"/>
      <x:c r="Q90" s="92"/>
      <x:c r="R90" s="92"/>
      <x:c r="S90" s="92"/>
      <x:c r="T90" s="92"/>
      <x:c r="U90" s="92"/>
      <x:c r="V90" s="92"/>
      <x:c r="W90" s="92"/>
      <x:c r="X90" s="92"/>
      <x:c r="Y90" s="92"/>
      <x:c r="Z90" s="92"/>
    </x:row>
    <x:row r="91">
      <x:c r="A91" s="92"/>
      <x:c r="B91" s="92"/>
      <x:c r="C91" s="92"/>
      <x:c r="D91" s="92"/>
      <x:c r="E91" s="92"/>
      <x:c r="F91" s="92"/>
      <x:c r="G91" s="92"/>
      <x:c r="H91" s="92"/>
      <x:c r="I91" s="92"/>
      <x:c r="J91" s="92"/>
      <x:c r="K91" s="92"/>
      <x:c r="L91" s="92"/>
      <x:c r="M91" s="92"/>
      <x:c r="N91" s="92"/>
      <x:c r="O91" s="92"/>
      <x:c r="P91" s="92"/>
      <x:c r="Q91" s="92"/>
      <x:c r="R91" s="92"/>
      <x:c r="S91" s="92"/>
      <x:c r="T91" s="92"/>
      <x:c r="U91" s="92"/>
      <x:c r="V91" s="92"/>
      <x:c r="W91" s="92"/>
      <x:c r="X91" s="92"/>
      <x:c r="Y91" s="92"/>
      <x:c r="Z91" s="92"/>
    </x:row>
    <x:row r="92">
      <x:c r="A92" s="92"/>
      <x:c r="B92" s="92"/>
      <x:c r="C92" s="92"/>
      <x:c r="D92" s="92"/>
      <x:c r="E92" s="92"/>
      <x:c r="F92" s="92"/>
      <x:c r="G92" s="92"/>
      <x:c r="H92" s="92"/>
      <x:c r="I92" s="92"/>
      <x:c r="J92" s="92"/>
      <x:c r="K92" s="92"/>
      <x:c r="L92" s="92"/>
      <x:c r="M92" s="92"/>
      <x:c r="N92" s="92"/>
      <x:c r="O92" s="92"/>
      <x:c r="P92" s="92"/>
      <x:c r="Q92" s="92"/>
      <x:c r="R92" s="92"/>
      <x:c r="S92" s="92"/>
      <x:c r="T92" s="92"/>
      <x:c r="U92" s="92"/>
      <x:c r="V92" s="92"/>
      <x:c r="W92" s="92"/>
      <x:c r="X92" s="92"/>
      <x:c r="Y92" s="92"/>
      <x:c r="Z92" s="92"/>
    </x:row>
    <x:row r="93">
      <x:c r="A93" s="92"/>
      <x:c r="B93" s="92"/>
      <x:c r="C93" s="92"/>
      <x:c r="D93" s="92"/>
      <x:c r="E93" s="92"/>
      <x:c r="F93" s="92"/>
      <x:c r="G93" s="92"/>
      <x:c r="H93" s="92"/>
      <x:c r="I93" s="92"/>
      <x:c r="J93" s="92"/>
      <x:c r="K93" s="92"/>
      <x:c r="L93" s="92"/>
      <x:c r="M93" s="92"/>
      <x:c r="N93" s="92"/>
      <x:c r="O93" s="92"/>
      <x:c r="P93" s="92"/>
      <x:c r="Q93" s="92"/>
      <x:c r="R93" s="92"/>
      <x:c r="S93" s="92"/>
      <x:c r="T93" s="92"/>
      <x:c r="U93" s="92"/>
      <x:c r="V93" s="92"/>
      <x:c r="W93" s="92"/>
      <x:c r="X93" s="92"/>
      <x:c r="Y93" s="92"/>
      <x:c r="Z93" s="92"/>
    </x:row>
    <x:row r="94">
      <x:c r="A94" s="92"/>
      <x:c r="B94" s="92"/>
      <x:c r="C94" s="92"/>
      <x:c r="D94" s="92"/>
      <x:c r="E94" s="92"/>
      <x:c r="F94" s="92"/>
      <x:c r="G94" s="92"/>
      <x:c r="H94" s="92"/>
      <x:c r="I94" s="92"/>
      <x:c r="J94" s="92"/>
      <x:c r="K94" s="92"/>
      <x:c r="L94" s="92"/>
      <x:c r="M94" s="92"/>
      <x:c r="N94" s="92"/>
      <x:c r="O94" s="92"/>
      <x:c r="P94" s="92"/>
      <x:c r="Q94" s="92"/>
      <x:c r="R94" s="92"/>
      <x:c r="S94" s="92"/>
      <x:c r="T94" s="92"/>
      <x:c r="U94" s="92"/>
      <x:c r="V94" s="92"/>
      <x:c r="W94" s="92"/>
      <x:c r="X94" s="92"/>
      <x:c r="Y94" s="92"/>
      <x:c r="Z94" s="92"/>
    </x:row>
    <x:row r="95">
      <x:c r="A95" s="92"/>
      <x:c r="B95" s="92"/>
      <x:c r="C95" s="92"/>
      <x:c r="D95" s="92"/>
      <x:c r="E95" s="92"/>
      <x:c r="F95" s="92"/>
      <x:c r="G95" s="92"/>
      <x:c r="H95" s="92"/>
      <x:c r="I95" s="92"/>
      <x:c r="J95" s="92"/>
      <x:c r="K95" s="92"/>
      <x:c r="L95" s="92"/>
      <x:c r="M95" s="92"/>
      <x:c r="N95" s="92"/>
      <x:c r="O95" s="92"/>
      <x:c r="P95" s="92"/>
      <x:c r="Q95" s="92"/>
      <x:c r="R95" s="92"/>
      <x:c r="S95" s="92"/>
      <x:c r="T95" s="92"/>
      <x:c r="U95" s="92"/>
      <x:c r="V95" s="92"/>
      <x:c r="W95" s="92"/>
      <x:c r="X95" s="92"/>
      <x:c r="Y95" s="92"/>
      <x:c r="Z95" s="92"/>
    </x:row>
    <x:row r="96">
      <x:c r="A96" s="92"/>
      <x:c r="B96" s="92"/>
      <x:c r="C96" s="92"/>
      <x:c r="D96" s="92"/>
      <x:c r="E96" s="92"/>
      <x:c r="F96" s="92"/>
      <x:c r="G96" s="92"/>
      <x:c r="H96" s="92"/>
      <x:c r="I96" s="92"/>
      <x:c r="J96" s="92"/>
      <x:c r="K96" s="92"/>
      <x:c r="L96" s="92"/>
      <x:c r="M96" s="92"/>
      <x:c r="N96" s="92"/>
      <x:c r="O96" s="92"/>
      <x:c r="P96" s="92"/>
      <x:c r="Q96" s="92"/>
      <x:c r="R96" s="92"/>
      <x:c r="S96" s="92"/>
      <x:c r="T96" s="92"/>
      <x:c r="U96" s="92"/>
      <x:c r="V96" s="92"/>
      <x:c r="W96" s="92"/>
      <x:c r="X96" s="92"/>
      <x:c r="Y96" s="92"/>
      <x:c r="Z96" s="92"/>
    </x:row>
    <x:row r="97">
      <x:c r="A97" s="92"/>
      <x:c r="B97" s="92"/>
      <x:c r="C97" s="92"/>
      <x:c r="D97" s="92"/>
      <x:c r="E97" s="92"/>
      <x:c r="F97" s="92"/>
      <x:c r="G97" s="92"/>
      <x:c r="H97" s="92"/>
      <x:c r="I97" s="92"/>
      <x:c r="J97" s="92"/>
      <x:c r="K97" s="92"/>
      <x:c r="L97" s="92"/>
      <x:c r="M97" s="92"/>
      <x:c r="N97" s="92"/>
      <x:c r="O97" s="92"/>
      <x:c r="P97" s="92"/>
      <x:c r="Q97" s="92"/>
      <x:c r="R97" s="92"/>
      <x:c r="S97" s="92"/>
      <x:c r="T97" s="92"/>
      <x:c r="U97" s="92"/>
      <x:c r="V97" s="92"/>
      <x:c r="W97" s="92"/>
      <x:c r="X97" s="92"/>
      <x:c r="Y97" s="92"/>
      <x:c r="Z97" s="92"/>
    </x:row>
    <x:row r="98">
      <x:c r="A98" s="92"/>
      <x:c r="B98" s="92"/>
      <x:c r="C98" s="92"/>
      <x:c r="D98" s="92"/>
      <x:c r="E98" s="92"/>
      <x:c r="F98" s="92"/>
      <x:c r="G98" s="92"/>
      <x:c r="H98" s="92"/>
      <x:c r="I98" s="92"/>
      <x:c r="J98" s="92"/>
      <x:c r="K98" s="92"/>
      <x:c r="L98" s="92"/>
      <x:c r="M98" s="92"/>
      <x:c r="N98" s="92"/>
      <x:c r="O98" s="92"/>
      <x:c r="P98" s="92"/>
      <x:c r="Q98" s="92"/>
      <x:c r="R98" s="92"/>
      <x:c r="S98" s="92"/>
      <x:c r="T98" s="92"/>
      <x:c r="U98" s="92"/>
      <x:c r="V98" s="92"/>
      <x:c r="W98" s="92"/>
      <x:c r="X98" s="92"/>
      <x:c r="Y98" s="92"/>
      <x:c r="Z98" s="92"/>
    </x:row>
    <x:row r="99">
      <x:c r="A99" s="92"/>
      <x:c r="B99" s="92"/>
      <x:c r="C99" s="92"/>
      <x:c r="D99" s="92"/>
      <x:c r="E99" s="92"/>
      <x:c r="F99" s="92"/>
      <x:c r="G99" s="92"/>
      <x:c r="H99" s="92"/>
      <x:c r="I99" s="92"/>
      <x:c r="J99" s="92"/>
      <x:c r="K99" s="92"/>
      <x:c r="L99" s="92"/>
      <x:c r="M99" s="92"/>
      <x:c r="N99" s="92"/>
      <x:c r="O99" s="92"/>
      <x:c r="P99" s="92"/>
      <x:c r="Q99" s="92"/>
      <x:c r="R99" s="92"/>
      <x:c r="S99" s="92"/>
      <x:c r="T99" s="92"/>
      <x:c r="U99" s="92"/>
      <x:c r="V99" s="92"/>
      <x:c r="W99" s="92"/>
      <x:c r="X99" s="92"/>
      <x:c r="Y99" s="92"/>
      <x:c r="Z99" s="92"/>
    </x:row>
    <x:row r="100">
      <x:c r="A100" s="92"/>
      <x:c r="B100" s="92"/>
      <x:c r="C100" s="92"/>
      <x:c r="D100" s="92"/>
      <x:c r="E100" s="92"/>
      <x:c r="F100" s="92"/>
      <x:c r="G100" s="92"/>
      <x:c r="H100" s="92"/>
      <x:c r="I100" s="92"/>
      <x:c r="J100" s="92"/>
      <x:c r="K100" s="92"/>
      <x:c r="L100" s="92"/>
      <x:c r="M100" s="92"/>
      <x:c r="N100" s="92"/>
      <x:c r="O100" s="92"/>
      <x:c r="P100" s="92"/>
      <x:c r="Q100" s="92"/>
      <x:c r="R100" s="92"/>
      <x:c r="S100" s="92"/>
      <x:c r="T100" s="92"/>
      <x:c r="U100" s="92"/>
      <x:c r="V100" s="92"/>
      <x:c r="W100" s="92"/>
      <x:c r="X100" s="92"/>
      <x:c r="Y100" s="92"/>
      <x:c r="Z100" s="92"/>
    </x:row>
    <x:row r="101">
      <x:c r="A101" s="92"/>
      <x:c r="B101" s="92"/>
      <x:c r="C101" s="92"/>
      <x:c r="D101" s="92"/>
      <x:c r="E101" s="92"/>
      <x:c r="F101" s="92"/>
      <x:c r="G101" s="92"/>
      <x:c r="H101" s="92"/>
      <x:c r="I101" s="92"/>
      <x:c r="J101" s="92"/>
      <x:c r="K101" s="92"/>
      <x:c r="L101" s="92"/>
      <x:c r="M101" s="92"/>
      <x:c r="N101" s="92"/>
      <x:c r="O101" s="92"/>
      <x:c r="P101" s="92"/>
      <x:c r="Q101" s="92"/>
      <x:c r="R101" s="92"/>
      <x:c r="S101" s="92"/>
      <x:c r="T101" s="92"/>
      <x:c r="U101" s="92"/>
      <x:c r="V101" s="92"/>
      <x:c r="W101" s="92"/>
      <x:c r="X101" s="92"/>
      <x:c r="Y101" s="92"/>
      <x:c r="Z101" s="92"/>
    </x:row>
    <x:row r="102">
      <x:c r="A102" s="92"/>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2"/>
      <x:c r="X102" s="92"/>
      <x:c r="Y102" s="92"/>
      <x:c r="Z102" s="92"/>
    </x:row>
    <x:row r="103">
      <x:c r="A103" s="92"/>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2"/>
      <x:c r="X103" s="92"/>
      <x:c r="Y103" s="92"/>
      <x:c r="Z103" s="92"/>
    </x:row>
    <x:row r="104">
      <x:c r="A104" s="92"/>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2"/>
      <x:c r="X104" s="92"/>
      <x:c r="Y104" s="92"/>
      <x:c r="Z104" s="92"/>
    </x:row>
    <x:row r="105">
      <x:c r="A105" s="92"/>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2"/>
      <x:c r="X105" s="92"/>
      <x:c r="Y105" s="92"/>
      <x:c r="Z105" s="92"/>
    </x:row>
    <x:row r="106">
      <x:c r="A106" s="92"/>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2"/>
      <x:c r="X106" s="92"/>
      <x:c r="Y106" s="92"/>
      <x:c r="Z106" s="92"/>
    </x:row>
    <x:row r="107">
      <x:c r="A107" s="92"/>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2"/>
      <x:c r="X107" s="92"/>
      <x:c r="Y107" s="92"/>
      <x:c r="Z107" s="92"/>
    </x:row>
    <x:row r="108">
      <x:c r="A108" s="92"/>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2"/>
      <x:c r="X108" s="92"/>
      <x:c r="Y108" s="92"/>
      <x:c r="Z108" s="92"/>
    </x:row>
    <x:row r="109">
      <x:c r="A109" s="92"/>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2"/>
      <x:c r="X109" s="92"/>
      <x:c r="Y109" s="92"/>
      <x:c r="Z109" s="92"/>
    </x:row>
    <x:row r="110">
      <x:c r="A110" s="92"/>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2"/>
      <x:c r="X110" s="92"/>
      <x:c r="Y110" s="92"/>
      <x:c r="Z110" s="92"/>
    </x:row>
    <x:row r="111">
      <x:c r="A111" s="92"/>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2"/>
      <x:c r="X111" s="92"/>
      <x:c r="Y111" s="92"/>
      <x:c r="Z111" s="92"/>
    </x:row>
    <x:row r="112">
      <x:c r="A112" s="92"/>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2"/>
      <x:c r="X112" s="92"/>
      <x:c r="Y112" s="92"/>
      <x:c r="Z112" s="92"/>
    </x:row>
    <x:row r="113">
      <x:c r="A113" s="92"/>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2"/>
      <x:c r="X113" s="92"/>
      <x:c r="Y113" s="92"/>
      <x:c r="Z113" s="92"/>
    </x:row>
    <x:row r="114">
      <x:c r="A114" s="92"/>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2"/>
      <x:c r="X114" s="92"/>
      <x:c r="Y114" s="92"/>
      <x:c r="Z114" s="92"/>
    </x:row>
    <x:row r="115">
      <x:c r="A115" s="92"/>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2"/>
      <x:c r="X115" s="92"/>
      <x:c r="Y115" s="92"/>
      <x:c r="Z115" s="92"/>
    </x:row>
    <x:row r="116">
      <x:c r="A116" s="92"/>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2"/>
      <x:c r="X116" s="92"/>
      <x:c r="Y116" s="92"/>
      <x:c r="Z116" s="92"/>
    </x:row>
    <x:row r="117">
      <x:c r="A117" s="92"/>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2"/>
      <x:c r="X117" s="92"/>
      <x:c r="Y117" s="92"/>
      <x:c r="Z117" s="92"/>
    </x:row>
    <x:row r="118">
      <x:c r="A118" s="92"/>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2"/>
      <x:c r="X118" s="92"/>
      <x:c r="Y118" s="92"/>
      <x:c r="Z118" s="92"/>
    </x:row>
    <x:row r="119">
      <x:c r="A119" s="92"/>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2"/>
      <x:c r="X119" s="92"/>
      <x:c r="Y119" s="92"/>
      <x:c r="Z119" s="92"/>
    </x:row>
    <x:row r="120">
      <x:c r="A120" s="92"/>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2"/>
      <x:c r="X120" s="92"/>
      <x:c r="Y120" s="92"/>
      <x:c r="Z120" s="92"/>
    </x:row>
    <x:row r="121">
      <x:c r="A121" s="92"/>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2"/>
      <x:c r="X121" s="92"/>
      <x:c r="Y121" s="92"/>
      <x:c r="Z121" s="92"/>
    </x:row>
    <x:row r="122">
      <x:c r="A122" s="92"/>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2"/>
      <x:c r="X122" s="92"/>
      <x:c r="Y122" s="92"/>
      <x:c r="Z122" s="92"/>
    </x:row>
    <x:row r="123">
      <x:c r="A123" s="92"/>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2"/>
      <x:c r="X123" s="92"/>
      <x:c r="Y123" s="92"/>
      <x:c r="Z123" s="92"/>
    </x:row>
    <x:row r="124">
      <x:c r="A124" s="92"/>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2"/>
      <x:c r="X124" s="92"/>
      <x:c r="Y124" s="92"/>
      <x:c r="Z124" s="92"/>
    </x:row>
    <x:row r="125">
      <x:c r="A125" s="92"/>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2"/>
      <x:c r="X125" s="92"/>
      <x:c r="Y125" s="92"/>
      <x:c r="Z125" s="92"/>
    </x:row>
    <x:row r="126">
      <x:c r="A126" s="92"/>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2"/>
      <x:c r="X126" s="92"/>
      <x:c r="Y126" s="92"/>
      <x:c r="Z126" s="92"/>
    </x:row>
    <x:row r="127">
      <x:c r="A127" s="92"/>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2"/>
      <x:c r="X127" s="92"/>
      <x:c r="Y127" s="92"/>
      <x:c r="Z127" s="92"/>
    </x:row>
    <x:row r="128">
      <x:c r="A128" s="92"/>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2"/>
      <x:c r="X128" s="92"/>
      <x:c r="Y128" s="92"/>
      <x:c r="Z128" s="92"/>
    </x:row>
    <x:row r="129">
      <x:c r="A129" s="92"/>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2"/>
      <x:c r="X129" s="92"/>
      <x:c r="Y129" s="92"/>
      <x:c r="Z129" s="92"/>
    </x:row>
    <x:row r="130">
      <x:c r="A130" s="92"/>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2"/>
      <x:c r="X130" s="92"/>
      <x:c r="Y130" s="92"/>
      <x:c r="Z130" s="92"/>
    </x:row>
    <x:row r="131">
      <x:c r="A131" s="92"/>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2"/>
      <x:c r="X131" s="92"/>
      <x:c r="Y131" s="92"/>
      <x:c r="Z131" s="92"/>
    </x:row>
    <x:row r="132">
      <x:c r="A132" s="92"/>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2"/>
      <x:c r="X132" s="92"/>
      <x:c r="Y132" s="92"/>
      <x:c r="Z132" s="92"/>
    </x:row>
    <x:row r="133">
      <x:c r="A133" s="92"/>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2"/>
      <x:c r="X133" s="92"/>
      <x:c r="Y133" s="92"/>
      <x:c r="Z133" s="92"/>
    </x:row>
    <x:row r="134">
      <x:c r="A134" s="92"/>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2"/>
      <x:c r="X134" s="92"/>
      <x:c r="Y134" s="92"/>
      <x:c r="Z134" s="92"/>
    </x:row>
    <x:row r="135">
      <x:c r="A135" s="92"/>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2"/>
      <x:c r="X135" s="92"/>
      <x:c r="Y135" s="92"/>
      <x:c r="Z135" s="92"/>
    </x:row>
    <x:row r="136">
      <x:c r="A136" s="92"/>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2"/>
      <x:c r="X136" s="92"/>
      <x:c r="Y136" s="92"/>
      <x:c r="Z136" s="92"/>
    </x:row>
    <x:row r="137">
      <x:c r="A137" s="92"/>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2"/>
      <x:c r="X137" s="92"/>
      <x:c r="Y137" s="92"/>
      <x:c r="Z137" s="92"/>
    </x:row>
    <x:row r="138">
      <x:c r="A138" s="92"/>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2"/>
      <x:c r="X138" s="92"/>
      <x:c r="Y138" s="92"/>
      <x:c r="Z138" s="92"/>
    </x:row>
    <x:row r="139">
      <x:c r="A139" s="92"/>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2"/>
      <x:c r="X139" s="92"/>
      <x:c r="Y139" s="92"/>
      <x:c r="Z139" s="92"/>
    </x:row>
    <x:row r="140">
      <x:c r="A140" s="92"/>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2"/>
      <x:c r="X140" s="92"/>
      <x:c r="Y140" s="92"/>
      <x:c r="Z140" s="92"/>
    </x:row>
    <x:row r="141">
      <x:c r="A141" s="92"/>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2"/>
      <x:c r="X141" s="92"/>
      <x:c r="Y141" s="92"/>
      <x:c r="Z141" s="92"/>
    </x:row>
    <x:row r="142">
      <x:c r="A142" s="92"/>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2"/>
      <x:c r="X142" s="92"/>
      <x:c r="Y142" s="92"/>
      <x:c r="Z142" s="92"/>
    </x:row>
    <x:row r="143">
      <x:c r="A143" s="92"/>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2"/>
      <x:c r="X143" s="92"/>
      <x:c r="Y143" s="92"/>
      <x:c r="Z143" s="92"/>
    </x:row>
    <x:row r="144">
      <x:c r="A144" s="92"/>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2"/>
      <x:c r="X144" s="92"/>
      <x:c r="Y144" s="92"/>
      <x:c r="Z144" s="92"/>
    </x:row>
    <x:row r="145">
      <x:c r="A145" s="92"/>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2"/>
      <x:c r="X145" s="92"/>
      <x:c r="Y145" s="92"/>
      <x:c r="Z145" s="92"/>
    </x:row>
    <x:row r="146">
      <x:c r="A146" s="92"/>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2"/>
      <x:c r="X146" s="92"/>
      <x:c r="Y146" s="92"/>
      <x:c r="Z146" s="92"/>
    </x:row>
    <x:row r="147">
      <x:c r="A147" s="92"/>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2"/>
      <x:c r="X147" s="92"/>
      <x:c r="Y147" s="92"/>
      <x:c r="Z147" s="92"/>
    </x:row>
    <x:row r="148">
      <x:c r="A148" s="92"/>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2"/>
      <x:c r="X148" s="92"/>
      <x:c r="Y148" s="92"/>
      <x:c r="Z148" s="92"/>
    </x:row>
    <x:row r="149">
      <x:c r="A149" s="92"/>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2"/>
      <x:c r="X149" s="92"/>
      <x:c r="Y149" s="92"/>
      <x:c r="Z149" s="92"/>
    </x:row>
    <x:row r="150">
      <x:c r="A150" s="92"/>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2"/>
      <x:c r="X150" s="92"/>
      <x:c r="Y150" s="92"/>
      <x:c r="Z150" s="92"/>
    </x:row>
    <x:row r="151">
      <x:c r="A151" s="92"/>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2"/>
      <x:c r="X151" s="92"/>
      <x:c r="Y151" s="92"/>
      <x:c r="Z151" s="92"/>
    </x:row>
    <x:row r="152">
      <x:c r="A152" s="92"/>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2"/>
      <x:c r="X152" s="92"/>
      <x:c r="Y152" s="92"/>
      <x:c r="Z152" s="92"/>
    </x:row>
    <x:row r="153">
      <x:c r="A153" s="92"/>
      <x:c r="B153" s="92"/>
      <x:c r="C153" s="92"/>
      <x:c r="D153" s="92"/>
      <x:c r="E153" s="92"/>
      <x:c r="F153" s="92"/>
      <x:c r="G153" s="92"/>
      <x:c r="H153" s="92"/>
      <x:c r="I153" s="92"/>
      <x:c r="J153" s="92"/>
      <x:c r="K153" s="92"/>
      <x:c r="L153" s="92"/>
      <x:c r="M153" s="92"/>
      <x:c r="N153" s="92"/>
      <x:c r="O153" s="92"/>
      <x:c r="P153" s="92"/>
      <x:c r="Q153" s="92"/>
      <x:c r="R153" s="92"/>
      <x:c r="S153" s="92"/>
      <x:c r="T153" s="92"/>
      <x:c r="U153" s="92"/>
      <x:c r="V153" s="92"/>
      <x:c r="W153" s="92"/>
      <x:c r="X153" s="92"/>
      <x:c r="Y153" s="92"/>
      <x:c r="Z153" s="92"/>
    </x:row>
    <x:row r="154">
      <x:c r="A154" s="92"/>
      <x:c r="B154" s="92"/>
      <x:c r="C154" s="92"/>
      <x:c r="D154" s="92"/>
      <x:c r="E154" s="92"/>
      <x:c r="F154" s="92"/>
      <x:c r="G154" s="92"/>
      <x:c r="H154" s="92"/>
      <x:c r="I154" s="92"/>
      <x:c r="J154" s="92"/>
      <x:c r="K154" s="92"/>
      <x:c r="L154" s="92"/>
      <x:c r="M154" s="92"/>
      <x:c r="N154" s="92"/>
      <x:c r="O154" s="92"/>
      <x:c r="P154" s="92"/>
      <x:c r="Q154" s="92"/>
      <x:c r="R154" s="92"/>
      <x:c r="S154" s="92"/>
      <x:c r="T154" s="92"/>
      <x:c r="U154" s="92"/>
      <x:c r="V154" s="92"/>
      <x:c r="W154" s="92"/>
      <x:c r="X154" s="92"/>
      <x:c r="Y154" s="92"/>
      <x:c r="Z154" s="92"/>
    </x:row>
    <x:row r="155">
      <x:c r="A155" s="92"/>
      <x:c r="B155" s="92"/>
      <x:c r="C155" s="92"/>
      <x:c r="D155" s="92"/>
      <x:c r="E155" s="92"/>
      <x:c r="F155" s="92"/>
      <x:c r="G155" s="92"/>
      <x:c r="H155" s="92"/>
      <x:c r="I155" s="92"/>
      <x:c r="J155" s="92"/>
      <x:c r="K155" s="92"/>
      <x:c r="L155" s="92"/>
      <x:c r="M155" s="92"/>
      <x:c r="N155" s="92"/>
      <x:c r="O155" s="92"/>
      <x:c r="P155" s="92"/>
      <x:c r="Q155" s="92"/>
      <x:c r="R155" s="92"/>
      <x:c r="S155" s="92"/>
      <x:c r="T155" s="92"/>
      <x:c r="U155" s="92"/>
      <x:c r="V155" s="92"/>
      <x:c r="W155" s="92"/>
      <x:c r="X155" s="92"/>
      <x:c r="Y155" s="92"/>
      <x:c r="Z155" s="92"/>
    </x:row>
    <x:row r="156">
      <x:c r="A156" s="92"/>
      <x:c r="B156" s="92"/>
      <x:c r="C156" s="92"/>
      <x:c r="D156" s="92"/>
      <x:c r="E156" s="92"/>
      <x:c r="F156" s="92"/>
      <x:c r="G156" s="92"/>
      <x:c r="H156" s="92"/>
      <x:c r="I156" s="92"/>
      <x:c r="J156" s="92"/>
      <x:c r="K156" s="92"/>
      <x:c r="L156" s="92"/>
      <x:c r="M156" s="92"/>
      <x:c r="N156" s="92"/>
      <x:c r="O156" s="92"/>
      <x:c r="P156" s="92"/>
      <x:c r="Q156" s="92"/>
      <x:c r="R156" s="92"/>
      <x:c r="S156" s="92"/>
      <x:c r="T156" s="92"/>
      <x:c r="U156" s="92"/>
      <x:c r="V156" s="92"/>
      <x:c r="W156" s="92"/>
      <x:c r="X156" s="92"/>
      <x:c r="Y156" s="92"/>
      <x:c r="Z156" s="92"/>
    </x:row>
    <x:row r="157">
      <x:c r="A157" s="92"/>
      <x:c r="B157" s="92"/>
      <x:c r="C157" s="92"/>
      <x:c r="D157" s="92"/>
      <x:c r="E157" s="92"/>
      <x:c r="F157" s="92"/>
      <x:c r="G157" s="92"/>
      <x:c r="H157" s="92"/>
      <x:c r="I157" s="92"/>
      <x:c r="J157" s="92"/>
      <x:c r="K157" s="92"/>
      <x:c r="L157" s="92"/>
      <x:c r="M157" s="92"/>
      <x:c r="N157" s="92"/>
      <x:c r="O157" s="92"/>
      <x:c r="P157" s="92"/>
      <x:c r="Q157" s="92"/>
      <x:c r="R157" s="92"/>
      <x:c r="S157" s="92"/>
      <x:c r="T157" s="92"/>
      <x:c r="U157" s="92"/>
      <x:c r="V157" s="92"/>
      <x:c r="W157" s="92"/>
      <x:c r="X157" s="92"/>
      <x:c r="Y157" s="92"/>
      <x:c r="Z157" s="92"/>
    </x:row>
    <x:row r="158">
      <x:c r="A158" s="92"/>
      <x:c r="B158" s="92"/>
      <x:c r="C158" s="92"/>
      <x:c r="D158" s="92"/>
      <x:c r="E158" s="92"/>
      <x:c r="F158" s="92"/>
      <x:c r="G158" s="92"/>
      <x:c r="H158" s="92"/>
      <x:c r="I158" s="92"/>
      <x:c r="J158" s="92"/>
      <x:c r="K158" s="92"/>
      <x:c r="L158" s="92"/>
      <x:c r="M158" s="92"/>
      <x:c r="N158" s="92"/>
      <x:c r="O158" s="92"/>
      <x:c r="P158" s="92"/>
      <x:c r="Q158" s="92"/>
      <x:c r="R158" s="92"/>
      <x:c r="S158" s="92"/>
      <x:c r="T158" s="92"/>
      <x:c r="U158" s="92"/>
      <x:c r="V158" s="92"/>
      <x:c r="W158" s="92"/>
      <x:c r="X158" s="92"/>
      <x:c r="Y158" s="92"/>
      <x:c r="Z158" s="92"/>
    </x:row>
    <x:row r="159">
      <x:c r="A159" s="92"/>
      <x:c r="B159" s="92"/>
      <x:c r="C159" s="92"/>
      <x:c r="D159" s="92"/>
      <x:c r="E159" s="92"/>
      <x:c r="F159" s="92"/>
      <x:c r="G159" s="92"/>
      <x:c r="H159" s="92"/>
      <x:c r="I159" s="92"/>
      <x:c r="J159" s="92"/>
      <x:c r="K159" s="92"/>
      <x:c r="L159" s="92"/>
      <x:c r="M159" s="92"/>
      <x:c r="N159" s="92"/>
      <x:c r="O159" s="92"/>
      <x:c r="P159" s="92"/>
      <x:c r="Q159" s="92"/>
      <x:c r="R159" s="92"/>
      <x:c r="S159" s="92"/>
      <x:c r="T159" s="92"/>
      <x:c r="U159" s="92"/>
      <x:c r="V159" s="92"/>
      <x:c r="W159" s="92"/>
      <x:c r="X159" s="92"/>
      <x:c r="Y159" s="92"/>
      <x:c r="Z159" s="92"/>
    </x:row>
    <x:row r="160">
      <x:c r="A160" s="92"/>
      <x:c r="B160" s="92"/>
      <x:c r="C160" s="92"/>
      <x:c r="D160" s="92"/>
      <x:c r="E160" s="92"/>
      <x:c r="F160" s="92"/>
      <x:c r="G160" s="92"/>
      <x:c r="H160" s="92"/>
      <x:c r="I160" s="92"/>
      <x:c r="J160" s="92"/>
      <x:c r="K160" s="92"/>
      <x:c r="L160" s="92"/>
      <x:c r="M160" s="92"/>
      <x:c r="N160" s="92"/>
      <x:c r="O160" s="92"/>
      <x:c r="P160" s="92"/>
      <x:c r="Q160" s="92"/>
      <x:c r="R160" s="92"/>
      <x:c r="S160" s="92"/>
      <x:c r="T160" s="92"/>
      <x:c r="U160" s="92"/>
      <x:c r="V160" s="92"/>
      <x:c r="W160" s="92"/>
      <x:c r="X160" s="92"/>
      <x:c r="Y160" s="92"/>
      <x:c r="Z160" s="92"/>
    </x:row>
    <x:row r="161">
      <x:c r="A161" s="92"/>
      <x:c r="B161" s="92"/>
      <x:c r="C161" s="92"/>
      <x:c r="D161" s="92"/>
      <x:c r="E161" s="92"/>
      <x:c r="F161" s="92"/>
      <x:c r="G161" s="92"/>
      <x:c r="H161" s="92"/>
      <x:c r="I161" s="92"/>
      <x:c r="J161" s="92"/>
      <x:c r="K161" s="92"/>
      <x:c r="L161" s="92"/>
      <x:c r="M161" s="92"/>
      <x:c r="N161" s="92"/>
      <x:c r="O161" s="92"/>
      <x:c r="P161" s="92"/>
      <x:c r="Q161" s="92"/>
      <x:c r="R161" s="92"/>
      <x:c r="S161" s="92"/>
      <x:c r="T161" s="92"/>
      <x:c r="U161" s="92"/>
      <x:c r="V161" s="92"/>
      <x:c r="W161" s="92"/>
      <x:c r="X161" s="92"/>
      <x:c r="Y161" s="92"/>
      <x:c r="Z161" s="92"/>
    </x:row>
    <x:row r="162">
      <x:c r="A162" s="92"/>
      <x:c r="B162" s="92"/>
      <x:c r="C162" s="92"/>
      <x:c r="D162" s="92"/>
      <x:c r="E162" s="92"/>
      <x:c r="F162" s="92"/>
      <x:c r="G162" s="92"/>
      <x:c r="H162" s="92"/>
      <x:c r="I162" s="92"/>
      <x:c r="J162" s="92"/>
      <x:c r="K162" s="92"/>
      <x:c r="L162" s="92"/>
      <x:c r="M162" s="92"/>
      <x:c r="N162" s="92"/>
      <x:c r="O162" s="92"/>
      <x:c r="P162" s="92"/>
      <x:c r="Q162" s="92"/>
      <x:c r="R162" s="92"/>
      <x:c r="S162" s="92"/>
      <x:c r="T162" s="92"/>
      <x:c r="U162" s="92"/>
      <x:c r="V162" s="92"/>
      <x:c r="W162" s="92"/>
      <x:c r="X162" s="92"/>
      <x:c r="Y162" s="92"/>
      <x:c r="Z162" s="92"/>
    </x:row>
    <x:row r="163">
      <x:c r="A163" s="92"/>
      <x:c r="B163" s="92"/>
      <x:c r="C163" s="92"/>
      <x:c r="D163" s="92"/>
      <x:c r="E163" s="92"/>
      <x:c r="F163" s="92"/>
      <x:c r="G163" s="92"/>
      <x:c r="H163" s="92"/>
      <x:c r="I163" s="92"/>
      <x:c r="J163" s="92"/>
      <x:c r="K163" s="92"/>
      <x:c r="L163" s="92"/>
      <x:c r="M163" s="92"/>
      <x:c r="N163" s="92"/>
      <x:c r="O163" s="92"/>
      <x:c r="P163" s="92"/>
      <x:c r="Q163" s="92"/>
      <x:c r="R163" s="92"/>
      <x:c r="S163" s="92"/>
      <x:c r="T163" s="92"/>
      <x:c r="U163" s="92"/>
      <x:c r="V163" s="92"/>
      <x:c r="W163" s="92"/>
      <x:c r="X163" s="92"/>
      <x:c r="Y163" s="92"/>
      <x:c r="Z163" s="92"/>
    </x:row>
    <x:row r="164">
      <x:c r="A164" s="92"/>
      <x:c r="B164" s="92"/>
      <x:c r="C164" s="92"/>
      <x:c r="D164" s="92"/>
      <x:c r="E164" s="92"/>
      <x:c r="F164" s="92"/>
      <x:c r="G164" s="92"/>
      <x:c r="H164" s="92"/>
      <x:c r="I164" s="92"/>
      <x:c r="J164" s="92"/>
      <x:c r="K164" s="92"/>
      <x:c r="L164" s="92"/>
      <x:c r="M164" s="92"/>
      <x:c r="N164" s="92"/>
      <x:c r="O164" s="92"/>
      <x:c r="P164" s="92"/>
      <x:c r="Q164" s="92"/>
      <x:c r="R164" s="92"/>
      <x:c r="S164" s="92"/>
      <x:c r="T164" s="92"/>
      <x:c r="U164" s="92"/>
      <x:c r="V164" s="92"/>
      <x:c r="W164" s="92"/>
      <x:c r="X164" s="92"/>
      <x:c r="Y164" s="92"/>
      <x:c r="Z164" s="92"/>
    </x:row>
    <x:row r="165">
      <x:c r="A165" s="92"/>
      <x:c r="B165" s="92"/>
      <x:c r="C165" s="92"/>
      <x:c r="D165" s="92"/>
      <x:c r="E165" s="92"/>
      <x:c r="F165" s="92"/>
      <x:c r="G165" s="92"/>
      <x:c r="H165" s="92"/>
      <x:c r="I165" s="92"/>
      <x:c r="J165" s="92"/>
      <x:c r="K165" s="92"/>
      <x:c r="L165" s="92"/>
      <x:c r="M165" s="92"/>
      <x:c r="N165" s="92"/>
      <x:c r="O165" s="92"/>
      <x:c r="P165" s="92"/>
      <x:c r="Q165" s="92"/>
      <x:c r="R165" s="92"/>
      <x:c r="S165" s="92"/>
      <x:c r="T165" s="92"/>
      <x:c r="U165" s="92"/>
      <x:c r="V165" s="92"/>
      <x:c r="W165" s="92"/>
      <x:c r="X165" s="92"/>
      <x:c r="Y165" s="92"/>
      <x:c r="Z165" s="92"/>
    </x:row>
    <x:row r="166">
      <x:c r="A166" s="92"/>
      <x:c r="B166" s="92"/>
      <x:c r="C166" s="92"/>
      <x:c r="D166" s="92"/>
      <x:c r="E166" s="92"/>
      <x:c r="F166" s="92"/>
      <x:c r="G166" s="92"/>
      <x:c r="H166" s="92"/>
      <x:c r="I166" s="92"/>
      <x:c r="J166" s="92"/>
      <x:c r="K166" s="92"/>
      <x:c r="L166" s="92"/>
      <x:c r="M166" s="92"/>
      <x:c r="N166" s="92"/>
      <x:c r="O166" s="92"/>
      <x:c r="P166" s="92"/>
      <x:c r="Q166" s="92"/>
      <x:c r="R166" s="92"/>
      <x:c r="S166" s="92"/>
      <x:c r="T166" s="92"/>
      <x:c r="U166" s="92"/>
      <x:c r="V166" s="92"/>
      <x:c r="W166" s="92"/>
      <x:c r="X166" s="92"/>
      <x:c r="Y166" s="92"/>
      <x:c r="Z166" s="92"/>
    </x:row>
    <x:row r="167">
      <x:c r="A167" s="92"/>
      <x:c r="B167" s="92"/>
      <x:c r="C167" s="92"/>
      <x:c r="D167" s="92"/>
      <x:c r="E167" s="92"/>
      <x:c r="F167" s="92"/>
      <x:c r="G167" s="92"/>
      <x:c r="H167" s="92"/>
      <x:c r="I167" s="92"/>
      <x:c r="J167" s="92"/>
      <x:c r="K167" s="92"/>
      <x:c r="L167" s="92"/>
      <x:c r="M167" s="92"/>
      <x:c r="N167" s="92"/>
      <x:c r="O167" s="92"/>
      <x:c r="P167" s="92"/>
      <x:c r="Q167" s="92"/>
      <x:c r="R167" s="92"/>
      <x:c r="S167" s="92"/>
      <x:c r="T167" s="92"/>
      <x:c r="U167" s="92"/>
      <x:c r="V167" s="92"/>
      <x:c r="W167" s="92"/>
      <x:c r="X167" s="92"/>
      <x:c r="Y167" s="92"/>
      <x:c r="Z167" s="92"/>
    </x:row>
    <x:row r="168">
      <x:c r="A168" s="92"/>
      <x:c r="B168" s="92"/>
      <x:c r="C168" s="92"/>
      <x:c r="D168" s="92"/>
      <x:c r="E168" s="92"/>
      <x:c r="F168" s="92"/>
      <x:c r="G168" s="92"/>
      <x:c r="H168" s="92"/>
      <x:c r="I168" s="92"/>
      <x:c r="J168" s="92"/>
      <x:c r="K168" s="92"/>
      <x:c r="L168" s="92"/>
      <x:c r="M168" s="92"/>
      <x:c r="N168" s="92"/>
      <x:c r="O168" s="92"/>
      <x:c r="P168" s="92"/>
      <x:c r="Q168" s="92"/>
      <x:c r="R168" s="92"/>
      <x:c r="S168" s="92"/>
      <x:c r="T168" s="92"/>
      <x:c r="U168" s="92"/>
      <x:c r="V168" s="92"/>
      <x:c r="W168" s="92"/>
      <x:c r="X168" s="92"/>
      <x:c r="Y168" s="92"/>
      <x:c r="Z168" s="92"/>
    </x:row>
    <x:row r="169">
      <x:c r="A169" s="92"/>
      <x:c r="B169" s="92"/>
      <x:c r="C169" s="92"/>
      <x:c r="D169" s="92"/>
      <x:c r="E169" s="92"/>
      <x:c r="F169" s="92"/>
      <x:c r="G169" s="92"/>
      <x:c r="H169" s="92"/>
      <x:c r="I169" s="92"/>
      <x:c r="J169" s="92"/>
      <x:c r="K169" s="92"/>
      <x:c r="L169" s="92"/>
      <x:c r="M169" s="92"/>
      <x:c r="N169" s="92"/>
      <x:c r="O169" s="92"/>
      <x:c r="P169" s="92"/>
      <x:c r="Q169" s="92"/>
      <x:c r="R169" s="92"/>
      <x:c r="S169" s="92"/>
      <x:c r="T169" s="92"/>
      <x:c r="U169" s="92"/>
      <x:c r="V169" s="92"/>
      <x:c r="W169" s="92"/>
      <x:c r="X169" s="92"/>
      <x:c r="Y169" s="92"/>
      <x:c r="Z169" s="92"/>
    </x:row>
    <x:row r="170">
      <x:c r="A170" s="92"/>
      <x:c r="B170" s="92"/>
      <x:c r="C170" s="92"/>
      <x:c r="D170" s="92"/>
      <x:c r="E170" s="92"/>
      <x:c r="F170" s="92"/>
      <x:c r="G170" s="92"/>
      <x:c r="H170" s="92"/>
      <x:c r="I170" s="92"/>
      <x:c r="J170" s="92"/>
      <x:c r="K170" s="92"/>
      <x:c r="L170" s="92"/>
      <x:c r="M170" s="92"/>
      <x:c r="N170" s="92"/>
      <x:c r="O170" s="92"/>
      <x:c r="P170" s="92"/>
      <x:c r="Q170" s="92"/>
      <x:c r="R170" s="92"/>
      <x:c r="S170" s="92"/>
      <x:c r="T170" s="92"/>
      <x:c r="U170" s="92"/>
      <x:c r="V170" s="92"/>
      <x:c r="W170" s="92"/>
      <x:c r="X170" s="92"/>
      <x:c r="Y170" s="92"/>
      <x:c r="Z170" s="92"/>
    </x:row>
    <x:row r="171">
      <x:c r="A171" s="92"/>
      <x:c r="B171" s="92"/>
      <x:c r="C171" s="92"/>
      <x:c r="D171" s="92"/>
      <x:c r="E171" s="92"/>
      <x:c r="F171" s="92"/>
      <x:c r="G171" s="92"/>
      <x:c r="H171" s="92"/>
      <x:c r="I171" s="92"/>
      <x:c r="J171" s="92"/>
      <x:c r="K171" s="92"/>
      <x:c r="L171" s="92"/>
      <x:c r="M171" s="92"/>
      <x:c r="N171" s="92"/>
      <x:c r="O171" s="92"/>
      <x:c r="P171" s="92"/>
      <x:c r="Q171" s="92"/>
      <x:c r="R171" s="92"/>
      <x:c r="S171" s="92"/>
      <x:c r="T171" s="92"/>
      <x:c r="U171" s="92"/>
      <x:c r="V171" s="92"/>
      <x:c r="W171" s="92"/>
      <x:c r="X171" s="92"/>
      <x:c r="Y171" s="92"/>
      <x:c r="Z171" s="92"/>
    </x:row>
    <x:row r="172">
      <x:c r="A172" s="92"/>
      <x:c r="B172" s="92"/>
      <x:c r="C172" s="92"/>
      <x:c r="D172" s="92"/>
      <x:c r="E172" s="92"/>
      <x:c r="F172" s="92"/>
      <x:c r="G172" s="92"/>
      <x:c r="H172" s="92"/>
      <x:c r="I172" s="92"/>
      <x:c r="J172" s="92"/>
      <x:c r="K172" s="92"/>
      <x:c r="L172" s="92"/>
      <x:c r="M172" s="92"/>
      <x:c r="N172" s="92"/>
      <x:c r="O172" s="92"/>
      <x:c r="P172" s="92"/>
      <x:c r="Q172" s="92"/>
      <x:c r="R172" s="92"/>
      <x:c r="S172" s="92"/>
      <x:c r="T172" s="92"/>
      <x:c r="U172" s="92"/>
      <x:c r="V172" s="92"/>
      <x:c r="W172" s="92"/>
      <x:c r="X172" s="92"/>
      <x:c r="Y172" s="92"/>
      <x:c r="Z172" s="92"/>
    </x:row>
    <x:row r="173">
      <x:c r="A173" s="92"/>
      <x:c r="B173" s="92"/>
      <x:c r="C173" s="92"/>
      <x:c r="D173" s="92"/>
      <x:c r="E173" s="92"/>
      <x:c r="F173" s="92"/>
      <x:c r="G173" s="92"/>
      <x:c r="H173" s="92"/>
      <x:c r="I173" s="92"/>
      <x:c r="J173" s="92"/>
      <x:c r="K173" s="92"/>
      <x:c r="L173" s="92"/>
      <x:c r="M173" s="92"/>
      <x:c r="N173" s="92"/>
      <x:c r="O173" s="92"/>
      <x:c r="P173" s="92"/>
      <x:c r="Q173" s="92"/>
      <x:c r="R173" s="92"/>
      <x:c r="S173" s="92"/>
      <x:c r="T173" s="92"/>
      <x:c r="U173" s="92"/>
      <x:c r="V173" s="92"/>
      <x:c r="W173" s="92"/>
      <x:c r="X173" s="92"/>
      <x:c r="Y173" s="92"/>
      <x:c r="Z173" s="92"/>
    </x:row>
    <x:row r="174">
      <x:c r="A174" s="92"/>
      <x:c r="B174" s="92"/>
      <x:c r="C174" s="92"/>
      <x:c r="D174" s="92"/>
      <x:c r="E174" s="92"/>
      <x:c r="F174" s="92"/>
      <x:c r="G174" s="92"/>
      <x:c r="H174" s="92"/>
      <x:c r="I174" s="92"/>
      <x:c r="J174" s="92"/>
      <x:c r="K174" s="92"/>
      <x:c r="L174" s="92"/>
      <x:c r="M174" s="92"/>
      <x:c r="N174" s="92"/>
      <x:c r="O174" s="92"/>
      <x:c r="P174" s="92"/>
      <x:c r="Q174" s="92"/>
      <x:c r="R174" s="92"/>
      <x:c r="S174" s="92"/>
      <x:c r="T174" s="92"/>
      <x:c r="U174" s="92"/>
      <x:c r="V174" s="92"/>
      <x:c r="W174" s="92"/>
      <x:c r="X174" s="92"/>
      <x:c r="Y174" s="92"/>
      <x:c r="Z174" s="92"/>
    </x:row>
    <x:row r="175">
      <x:c r="A175" s="92"/>
      <x:c r="B175" s="92"/>
      <x:c r="C175" s="92"/>
      <x:c r="D175" s="92"/>
      <x:c r="E175" s="92"/>
      <x:c r="F175" s="92"/>
      <x:c r="G175" s="92"/>
      <x:c r="H175" s="92"/>
      <x:c r="I175" s="92"/>
      <x:c r="J175" s="92"/>
      <x:c r="K175" s="92"/>
      <x:c r="L175" s="92"/>
      <x:c r="M175" s="92"/>
      <x:c r="N175" s="92"/>
      <x:c r="O175" s="92"/>
      <x:c r="P175" s="92"/>
      <x:c r="Q175" s="92"/>
      <x:c r="R175" s="92"/>
      <x:c r="S175" s="92"/>
      <x:c r="T175" s="92"/>
      <x:c r="U175" s="92"/>
      <x:c r="V175" s="92"/>
      <x:c r="W175" s="92"/>
      <x:c r="X175" s="92"/>
      <x:c r="Y175" s="92"/>
      <x:c r="Z175" s="92"/>
    </x:row>
    <x:row r="176">
      <x:c r="A176" s="92"/>
      <x:c r="B176" s="92"/>
      <x:c r="C176" s="92"/>
      <x:c r="D176" s="92"/>
      <x:c r="E176" s="92"/>
      <x:c r="F176" s="92"/>
      <x:c r="G176" s="92"/>
      <x:c r="H176" s="92"/>
      <x:c r="I176" s="92"/>
      <x:c r="J176" s="92"/>
      <x:c r="K176" s="92"/>
      <x:c r="L176" s="92"/>
      <x:c r="M176" s="92"/>
      <x:c r="N176" s="92"/>
      <x:c r="O176" s="92"/>
      <x:c r="P176" s="92"/>
      <x:c r="Q176" s="92"/>
      <x:c r="R176" s="92"/>
      <x:c r="S176" s="92"/>
      <x:c r="T176" s="92"/>
      <x:c r="U176" s="92"/>
      <x:c r="V176" s="92"/>
      <x:c r="W176" s="92"/>
      <x:c r="X176" s="92"/>
      <x:c r="Y176" s="92"/>
      <x:c r="Z176" s="92"/>
    </x:row>
    <x:row r="177">
      <x:c r="A177" s="92"/>
      <x:c r="B177" s="92"/>
      <x:c r="C177" s="92"/>
      <x:c r="D177" s="92"/>
      <x:c r="E177" s="92"/>
      <x:c r="F177" s="92"/>
      <x:c r="G177" s="92"/>
      <x:c r="H177" s="92"/>
      <x:c r="I177" s="92"/>
      <x:c r="J177" s="92"/>
      <x:c r="K177" s="92"/>
      <x:c r="L177" s="92"/>
      <x:c r="M177" s="92"/>
      <x:c r="N177" s="92"/>
      <x:c r="O177" s="92"/>
      <x:c r="P177" s="92"/>
      <x:c r="Q177" s="92"/>
      <x:c r="R177" s="92"/>
      <x:c r="S177" s="92"/>
      <x:c r="T177" s="92"/>
      <x:c r="U177" s="92"/>
      <x:c r="V177" s="92"/>
      <x:c r="W177" s="92"/>
      <x:c r="X177" s="92"/>
      <x:c r="Y177" s="92"/>
      <x:c r="Z177" s="92"/>
    </x:row>
    <x:row r="178">
      <x:c r="A178" s="92"/>
      <x:c r="B178" s="92"/>
      <x:c r="C178" s="92"/>
      <x:c r="D178" s="92"/>
      <x:c r="E178" s="92"/>
      <x:c r="F178" s="92"/>
      <x:c r="G178" s="92"/>
      <x:c r="H178" s="92"/>
      <x:c r="I178" s="92"/>
      <x:c r="J178" s="92"/>
      <x:c r="K178" s="92"/>
      <x:c r="L178" s="92"/>
      <x:c r="M178" s="92"/>
      <x:c r="N178" s="92"/>
      <x:c r="O178" s="92"/>
      <x:c r="P178" s="92"/>
      <x:c r="Q178" s="92"/>
      <x:c r="R178" s="92"/>
      <x:c r="S178" s="92"/>
      <x:c r="T178" s="92"/>
      <x:c r="U178" s="92"/>
      <x:c r="V178" s="92"/>
      <x:c r="W178" s="92"/>
      <x:c r="X178" s="92"/>
      <x:c r="Y178" s="92"/>
      <x:c r="Z178" s="92"/>
    </x:row>
    <x:row r="179">
      <x:c r="A179" s="92"/>
      <x:c r="B179" s="92"/>
      <x:c r="C179" s="92"/>
      <x:c r="D179" s="92"/>
      <x:c r="E179" s="92"/>
      <x:c r="F179" s="92"/>
      <x:c r="G179" s="92"/>
      <x:c r="H179" s="92"/>
      <x:c r="I179" s="92"/>
      <x:c r="J179" s="92"/>
      <x:c r="K179" s="92"/>
      <x:c r="L179" s="92"/>
      <x:c r="M179" s="92"/>
      <x:c r="N179" s="92"/>
      <x:c r="O179" s="92"/>
      <x:c r="P179" s="92"/>
      <x:c r="Q179" s="92"/>
      <x:c r="R179" s="92"/>
      <x:c r="S179" s="92"/>
      <x:c r="T179" s="92"/>
      <x:c r="U179" s="92"/>
      <x:c r="V179" s="92"/>
      <x:c r="W179" s="92"/>
      <x:c r="X179" s="92"/>
      <x:c r="Y179" s="92"/>
      <x:c r="Z179" s="92"/>
    </x:row>
    <x:row r="180">
      <x:c r="A180" s="92"/>
      <x:c r="B180" s="92"/>
      <x:c r="C180" s="92"/>
      <x:c r="D180" s="92"/>
      <x:c r="E180" s="92"/>
      <x:c r="F180" s="92"/>
      <x:c r="G180" s="92"/>
      <x:c r="H180" s="92"/>
      <x:c r="I180" s="92"/>
      <x:c r="J180" s="92"/>
      <x:c r="K180" s="92"/>
      <x:c r="L180" s="92"/>
      <x:c r="M180" s="92"/>
      <x:c r="N180" s="92"/>
      <x:c r="O180" s="92"/>
      <x:c r="P180" s="92"/>
      <x:c r="Q180" s="92"/>
      <x:c r="R180" s="92"/>
      <x:c r="S180" s="92"/>
      <x:c r="T180" s="92"/>
      <x:c r="U180" s="92"/>
      <x:c r="V180" s="92"/>
      <x:c r="W180" s="92"/>
      <x:c r="X180" s="92"/>
      <x:c r="Y180" s="92"/>
      <x:c r="Z180" s="92"/>
    </x:row>
    <x:row r="181">
      <x:c r="A181" s="92"/>
      <x:c r="B181" s="92"/>
      <x:c r="C181" s="92"/>
      <x:c r="D181" s="92"/>
      <x:c r="E181" s="92"/>
      <x:c r="F181" s="92"/>
      <x:c r="G181" s="92"/>
      <x:c r="H181" s="92"/>
      <x:c r="I181" s="92"/>
      <x:c r="J181" s="92"/>
      <x:c r="K181" s="92"/>
      <x:c r="L181" s="92"/>
      <x:c r="M181" s="92"/>
      <x:c r="N181" s="92"/>
      <x:c r="O181" s="92"/>
      <x:c r="P181" s="92"/>
      <x:c r="Q181" s="92"/>
      <x:c r="R181" s="92"/>
      <x:c r="S181" s="92"/>
      <x:c r="T181" s="92"/>
      <x:c r="U181" s="92"/>
      <x:c r="V181" s="92"/>
      <x:c r="W181" s="92"/>
      <x:c r="X181" s="92"/>
      <x:c r="Y181" s="92"/>
      <x:c r="Z181" s="92"/>
    </x:row>
    <x:row r="182">
      <x:c r="A182" s="92"/>
      <x:c r="B182" s="92"/>
      <x:c r="C182" s="92"/>
      <x:c r="D182" s="92"/>
      <x:c r="E182" s="92"/>
      <x:c r="F182" s="92"/>
      <x:c r="G182" s="92"/>
      <x:c r="H182" s="92"/>
      <x:c r="I182" s="92"/>
      <x:c r="J182" s="92"/>
      <x:c r="K182" s="92"/>
      <x:c r="L182" s="92"/>
      <x:c r="M182" s="92"/>
      <x:c r="N182" s="92"/>
      <x:c r="O182" s="92"/>
      <x:c r="P182" s="92"/>
      <x:c r="Q182" s="92"/>
      <x:c r="R182" s="92"/>
      <x:c r="S182" s="92"/>
      <x:c r="T182" s="92"/>
      <x:c r="U182" s="92"/>
      <x:c r="V182" s="92"/>
      <x:c r="W182" s="92"/>
      <x:c r="X182" s="92"/>
      <x:c r="Y182" s="92"/>
      <x:c r="Z182" s="92"/>
    </x:row>
    <x:row r="183">
      <x:c r="A183" s="92"/>
      <x:c r="B183" s="92"/>
      <x:c r="C183" s="92"/>
      <x:c r="D183" s="92"/>
      <x:c r="E183" s="92"/>
      <x:c r="F183" s="92"/>
      <x:c r="G183" s="92"/>
      <x:c r="H183" s="92"/>
      <x:c r="I183" s="92"/>
      <x:c r="J183" s="92"/>
      <x:c r="K183" s="92"/>
      <x:c r="L183" s="92"/>
      <x:c r="M183" s="92"/>
      <x:c r="N183" s="92"/>
      <x:c r="O183" s="92"/>
      <x:c r="P183" s="92"/>
      <x:c r="Q183" s="92"/>
      <x:c r="R183" s="92"/>
      <x:c r="S183" s="92"/>
      <x:c r="T183" s="92"/>
      <x:c r="U183" s="92"/>
      <x:c r="V183" s="92"/>
      <x:c r="W183" s="92"/>
      <x:c r="X183" s="92"/>
      <x:c r="Y183" s="92"/>
      <x:c r="Z183" s="92"/>
    </x:row>
    <x:row r="184">
      <x:c r="A184" s="92"/>
      <x:c r="B184" s="92"/>
      <x:c r="C184" s="92"/>
      <x:c r="D184" s="92"/>
      <x:c r="E184" s="92"/>
      <x:c r="F184" s="92"/>
      <x:c r="G184" s="92"/>
      <x:c r="H184" s="92"/>
      <x:c r="I184" s="92"/>
      <x:c r="J184" s="92"/>
      <x:c r="K184" s="92"/>
      <x:c r="L184" s="92"/>
      <x:c r="M184" s="92"/>
      <x:c r="N184" s="92"/>
      <x:c r="O184" s="92"/>
      <x:c r="P184" s="92"/>
      <x:c r="Q184" s="92"/>
      <x:c r="R184" s="92"/>
      <x:c r="S184" s="92"/>
      <x:c r="T184" s="92"/>
      <x:c r="U184" s="92"/>
      <x:c r="V184" s="92"/>
      <x:c r="W184" s="92"/>
      <x:c r="X184" s="92"/>
      <x:c r="Y184" s="92"/>
      <x:c r="Z184" s="92"/>
    </x:row>
    <x:row r="185">
      <x:c r="A185" s="92"/>
      <x:c r="B185" s="92"/>
      <x:c r="C185" s="92"/>
      <x:c r="D185" s="92"/>
      <x:c r="E185" s="92"/>
      <x:c r="F185" s="92"/>
      <x:c r="G185" s="92"/>
      <x:c r="H185" s="92"/>
      <x:c r="I185" s="92"/>
      <x:c r="J185" s="92"/>
      <x:c r="K185" s="92"/>
      <x:c r="L185" s="92"/>
      <x:c r="M185" s="92"/>
      <x:c r="N185" s="92"/>
      <x:c r="O185" s="92"/>
      <x:c r="P185" s="92"/>
      <x:c r="Q185" s="92"/>
      <x:c r="R185" s="92"/>
      <x:c r="S185" s="92"/>
      <x:c r="T185" s="92"/>
      <x:c r="U185" s="92"/>
      <x:c r="V185" s="92"/>
      <x:c r="W185" s="92"/>
      <x:c r="X185" s="92"/>
      <x:c r="Y185" s="92"/>
      <x:c r="Z185" s="92"/>
    </x:row>
    <x:row r="186">
      <x:c r="A186" s="92"/>
      <x:c r="B186" s="92"/>
      <x:c r="C186" s="92"/>
      <x:c r="D186" s="92"/>
      <x:c r="E186" s="92"/>
      <x:c r="F186" s="92"/>
      <x:c r="G186" s="92"/>
      <x:c r="H186" s="92"/>
      <x:c r="I186" s="92"/>
      <x:c r="J186" s="92"/>
      <x:c r="K186" s="92"/>
      <x:c r="L186" s="92"/>
      <x:c r="M186" s="92"/>
      <x:c r="N186" s="92"/>
      <x:c r="O186" s="92"/>
      <x:c r="P186" s="92"/>
      <x:c r="Q186" s="92"/>
      <x:c r="R186" s="92"/>
      <x:c r="S186" s="92"/>
      <x:c r="T186" s="92"/>
      <x:c r="U186" s="92"/>
      <x:c r="V186" s="92"/>
      <x:c r="W186" s="92"/>
      <x:c r="X186" s="92"/>
      <x:c r="Y186" s="92"/>
      <x:c r="Z186" s="92"/>
    </x:row>
    <x:row r="187">
      <x:c r="A187" s="92"/>
      <x:c r="B187" s="92"/>
      <x:c r="C187" s="92"/>
      <x:c r="D187" s="92"/>
      <x:c r="E187" s="92"/>
      <x:c r="F187" s="92"/>
      <x:c r="G187" s="92"/>
      <x:c r="H187" s="92"/>
      <x:c r="I187" s="92"/>
      <x:c r="J187" s="92"/>
      <x:c r="K187" s="92"/>
      <x:c r="L187" s="92"/>
      <x:c r="M187" s="92"/>
      <x:c r="N187" s="92"/>
      <x:c r="O187" s="92"/>
      <x:c r="P187" s="92"/>
      <x:c r="Q187" s="92"/>
      <x:c r="R187" s="92"/>
      <x:c r="S187" s="92"/>
      <x:c r="T187" s="92"/>
      <x:c r="U187" s="92"/>
      <x:c r="V187" s="92"/>
      <x:c r="W187" s="92"/>
      <x:c r="X187" s="92"/>
      <x:c r="Y187" s="92"/>
      <x:c r="Z187" s="92"/>
    </x:row>
    <x:row r="188">
      <x:c r="A188" s="92"/>
      <x:c r="B188" s="92"/>
      <x:c r="C188" s="92"/>
      <x:c r="D188" s="92"/>
      <x:c r="E188" s="92"/>
      <x:c r="F188" s="92"/>
      <x:c r="G188" s="92"/>
      <x:c r="H188" s="92"/>
      <x:c r="I188" s="92"/>
      <x:c r="J188" s="92"/>
      <x:c r="K188" s="92"/>
      <x:c r="L188" s="92"/>
      <x:c r="M188" s="92"/>
      <x:c r="N188" s="92"/>
      <x:c r="O188" s="92"/>
      <x:c r="P188" s="92"/>
      <x:c r="Q188" s="92"/>
      <x:c r="R188" s="92"/>
      <x:c r="S188" s="92"/>
      <x:c r="T188" s="92"/>
      <x:c r="U188" s="92"/>
      <x:c r="V188" s="92"/>
      <x:c r="W188" s="92"/>
      <x:c r="X188" s="92"/>
      <x:c r="Y188" s="92"/>
      <x:c r="Z188" s="92"/>
    </x:row>
    <x:row r="189">
      <x:c r="A189" s="92"/>
      <x:c r="B189" s="92"/>
      <x:c r="C189" s="92"/>
      <x:c r="D189" s="92"/>
      <x:c r="E189" s="92"/>
      <x:c r="F189" s="92"/>
      <x:c r="G189" s="92"/>
      <x:c r="H189" s="92"/>
      <x:c r="I189" s="92"/>
      <x:c r="J189" s="92"/>
      <x:c r="K189" s="92"/>
      <x:c r="L189" s="92"/>
      <x:c r="M189" s="92"/>
      <x:c r="N189" s="92"/>
      <x:c r="O189" s="92"/>
      <x:c r="P189" s="92"/>
      <x:c r="Q189" s="92"/>
      <x:c r="R189" s="92"/>
      <x:c r="S189" s="92"/>
      <x:c r="T189" s="92"/>
      <x:c r="U189" s="92"/>
      <x:c r="V189" s="92"/>
      <x:c r="W189" s="92"/>
      <x:c r="X189" s="92"/>
      <x:c r="Y189" s="92"/>
      <x:c r="Z189" s="92"/>
    </x:row>
    <x:row r="190">
      <x:c r="A190" s="92"/>
      <x:c r="B190" s="92"/>
      <x:c r="C190" s="92"/>
      <x:c r="D190" s="92"/>
      <x:c r="E190" s="92"/>
      <x:c r="F190" s="92"/>
      <x:c r="G190" s="92"/>
      <x:c r="H190" s="92"/>
      <x:c r="I190" s="92"/>
      <x:c r="J190" s="92"/>
      <x:c r="K190" s="92"/>
      <x:c r="L190" s="92"/>
      <x:c r="M190" s="92"/>
      <x:c r="N190" s="92"/>
      <x:c r="O190" s="92"/>
      <x:c r="P190" s="92"/>
      <x:c r="Q190" s="92"/>
      <x:c r="R190" s="92"/>
      <x:c r="S190" s="92"/>
      <x:c r="T190" s="92"/>
      <x:c r="U190" s="92"/>
      <x:c r="V190" s="92"/>
      <x:c r="W190" s="92"/>
      <x:c r="X190" s="92"/>
      <x:c r="Y190" s="92"/>
      <x:c r="Z190" s="92"/>
    </x:row>
    <x:row r="191">
      <x:c r="A191" s="92"/>
      <x:c r="B191" s="92"/>
      <x:c r="C191" s="92"/>
      <x:c r="D191" s="92"/>
      <x:c r="E191" s="92"/>
      <x:c r="F191" s="92"/>
      <x:c r="G191" s="92"/>
      <x:c r="H191" s="92"/>
      <x:c r="I191" s="92"/>
      <x:c r="J191" s="92"/>
      <x:c r="K191" s="92"/>
      <x:c r="L191" s="92"/>
      <x:c r="M191" s="92"/>
      <x:c r="N191" s="92"/>
      <x:c r="O191" s="92"/>
      <x:c r="P191" s="92"/>
      <x:c r="Q191" s="92"/>
      <x:c r="R191" s="92"/>
      <x:c r="S191" s="92"/>
      <x:c r="T191" s="92"/>
      <x:c r="U191" s="92"/>
      <x:c r="V191" s="92"/>
      <x:c r="W191" s="92"/>
      <x:c r="X191" s="92"/>
      <x:c r="Y191" s="92"/>
      <x:c r="Z191" s="92"/>
    </x:row>
    <x:row r="192">
      <x:c r="A192" s="92"/>
      <x:c r="B192" s="92"/>
      <x:c r="C192" s="92"/>
      <x:c r="D192" s="92"/>
      <x:c r="E192" s="92"/>
      <x:c r="F192" s="92"/>
      <x:c r="G192" s="92"/>
      <x:c r="H192" s="92"/>
      <x:c r="I192" s="92"/>
      <x:c r="J192" s="92"/>
      <x:c r="K192" s="92"/>
      <x:c r="L192" s="92"/>
      <x:c r="M192" s="92"/>
      <x:c r="N192" s="92"/>
      <x:c r="O192" s="92"/>
      <x:c r="P192" s="92"/>
      <x:c r="Q192" s="92"/>
      <x:c r="R192" s="92"/>
      <x:c r="S192" s="92"/>
      <x:c r="T192" s="92"/>
      <x:c r="U192" s="92"/>
      <x:c r="V192" s="92"/>
      <x:c r="W192" s="92"/>
      <x:c r="X192" s="92"/>
      <x:c r="Y192" s="92"/>
      <x:c r="Z192" s="92"/>
    </x:row>
    <x:row r="193">
      <x:c r="A193" s="92"/>
      <x:c r="B193" s="92"/>
      <x:c r="C193" s="92"/>
      <x:c r="D193" s="92"/>
      <x:c r="E193" s="92"/>
      <x:c r="F193" s="92"/>
      <x:c r="G193" s="92"/>
      <x:c r="H193" s="92"/>
      <x:c r="I193" s="92"/>
      <x:c r="J193" s="92"/>
      <x:c r="K193" s="92"/>
      <x:c r="L193" s="92"/>
      <x:c r="M193" s="92"/>
      <x:c r="N193" s="92"/>
      <x:c r="O193" s="92"/>
      <x:c r="P193" s="92"/>
      <x:c r="Q193" s="92"/>
      <x:c r="R193" s="92"/>
      <x:c r="S193" s="92"/>
      <x:c r="T193" s="92"/>
      <x:c r="U193" s="92"/>
      <x:c r="V193" s="92"/>
      <x:c r="W193" s="92"/>
      <x:c r="X193" s="92"/>
      <x:c r="Y193" s="92"/>
      <x:c r="Z193" s="92"/>
    </x:row>
    <x:row r="194">
      <x:c r="A194" s="92"/>
      <x:c r="B194" s="92"/>
      <x:c r="C194" s="92"/>
      <x:c r="D194" s="92"/>
      <x:c r="E194" s="92"/>
      <x:c r="F194" s="92"/>
      <x:c r="G194" s="92"/>
      <x:c r="H194" s="92"/>
      <x:c r="I194" s="92"/>
      <x:c r="J194" s="92"/>
      <x:c r="K194" s="92"/>
      <x:c r="L194" s="92"/>
      <x:c r="M194" s="92"/>
      <x:c r="N194" s="92"/>
      <x:c r="O194" s="92"/>
      <x:c r="P194" s="92"/>
      <x:c r="Q194" s="92"/>
      <x:c r="R194" s="92"/>
      <x:c r="S194" s="92"/>
      <x:c r="T194" s="92"/>
      <x:c r="U194" s="92"/>
      <x:c r="V194" s="92"/>
      <x:c r="W194" s="92"/>
      <x:c r="X194" s="92"/>
      <x:c r="Y194" s="92"/>
      <x:c r="Z194" s="92"/>
    </x:row>
    <x:row r="195">
      <x:c r="A195" s="92"/>
      <x:c r="B195" s="92"/>
      <x:c r="C195" s="92"/>
      <x:c r="D195" s="92"/>
      <x:c r="E195" s="92"/>
      <x:c r="F195" s="92"/>
      <x:c r="G195" s="92"/>
      <x:c r="H195" s="92"/>
      <x:c r="I195" s="92"/>
      <x:c r="J195" s="92"/>
      <x:c r="K195" s="92"/>
      <x:c r="L195" s="92"/>
      <x:c r="M195" s="92"/>
      <x:c r="N195" s="92"/>
      <x:c r="O195" s="92"/>
      <x:c r="P195" s="92"/>
      <x:c r="Q195" s="92"/>
      <x:c r="R195" s="92"/>
      <x:c r="S195" s="92"/>
      <x:c r="T195" s="92"/>
      <x:c r="U195" s="92"/>
      <x:c r="V195" s="92"/>
      <x:c r="W195" s="92"/>
      <x:c r="X195" s="92"/>
      <x:c r="Y195" s="92"/>
      <x:c r="Z195" s="92"/>
    </x:row>
    <x:row r="196">
      <x:c r="A196" s="92"/>
      <x:c r="B196" s="92"/>
      <x:c r="C196" s="92"/>
      <x:c r="D196" s="92"/>
      <x:c r="E196" s="92"/>
      <x:c r="F196" s="92"/>
      <x:c r="G196" s="92"/>
      <x:c r="H196" s="92"/>
      <x:c r="I196" s="92"/>
      <x:c r="J196" s="92"/>
      <x:c r="K196" s="92"/>
      <x:c r="L196" s="92"/>
      <x:c r="M196" s="92"/>
      <x:c r="N196" s="92"/>
      <x:c r="O196" s="92"/>
      <x:c r="P196" s="92"/>
      <x:c r="Q196" s="92"/>
      <x:c r="R196" s="92"/>
      <x:c r="S196" s="92"/>
      <x:c r="T196" s="92"/>
      <x:c r="U196" s="92"/>
      <x:c r="V196" s="92"/>
      <x:c r="W196" s="92"/>
      <x:c r="X196" s="92"/>
      <x:c r="Y196" s="92"/>
      <x:c r="Z196" s="92"/>
    </x:row>
    <x:row r="197">
      <x:c r="A197" s="92"/>
      <x:c r="B197" s="92"/>
      <x:c r="C197" s="92"/>
      <x:c r="D197" s="92"/>
      <x:c r="E197" s="92"/>
      <x:c r="F197" s="92"/>
      <x:c r="G197" s="92"/>
      <x:c r="H197" s="92"/>
      <x:c r="I197" s="92"/>
      <x:c r="J197" s="92"/>
      <x:c r="K197" s="92"/>
      <x:c r="L197" s="92"/>
      <x:c r="M197" s="92"/>
      <x:c r="N197" s="92"/>
      <x:c r="O197" s="92"/>
      <x:c r="P197" s="92"/>
      <x:c r="Q197" s="92"/>
      <x:c r="R197" s="92"/>
      <x:c r="S197" s="92"/>
      <x:c r="T197" s="92"/>
      <x:c r="U197" s="92"/>
      <x:c r="V197" s="92"/>
      <x:c r="W197" s="92"/>
      <x:c r="X197" s="92"/>
      <x:c r="Y197" s="92"/>
      <x:c r="Z197" s="92"/>
    </x:row>
    <x:row r="198">
      <x:c r="A198" s="92"/>
      <x:c r="B198" s="92"/>
      <x:c r="C198" s="92"/>
      <x:c r="D198" s="92"/>
      <x:c r="E198" s="92"/>
      <x:c r="F198" s="92"/>
      <x:c r="G198" s="92"/>
      <x:c r="H198" s="92"/>
      <x:c r="I198" s="92"/>
      <x:c r="J198" s="92"/>
      <x:c r="K198" s="92"/>
      <x:c r="L198" s="92"/>
      <x:c r="M198" s="92"/>
      <x:c r="N198" s="92"/>
      <x:c r="O198" s="92"/>
      <x:c r="P198" s="92"/>
      <x:c r="Q198" s="92"/>
      <x:c r="R198" s="92"/>
      <x:c r="S198" s="92"/>
      <x:c r="T198" s="92"/>
      <x:c r="U198" s="92"/>
      <x:c r="V198" s="92"/>
      <x:c r="W198" s="92"/>
      <x:c r="X198" s="92"/>
      <x:c r="Y198" s="92"/>
      <x:c r="Z198" s="92"/>
    </x:row>
    <x:row r="199">
      <x:c r="A199" s="92"/>
      <x:c r="B199" s="92"/>
      <x:c r="C199" s="92"/>
      <x:c r="D199" s="92"/>
      <x:c r="E199" s="92"/>
      <x:c r="F199" s="92"/>
      <x:c r="G199" s="92"/>
      <x:c r="H199" s="92"/>
      <x:c r="I199" s="92"/>
      <x:c r="J199" s="92"/>
      <x:c r="K199" s="92"/>
      <x:c r="L199" s="92"/>
      <x:c r="M199" s="92"/>
      <x:c r="N199" s="92"/>
      <x:c r="O199" s="92"/>
      <x:c r="P199" s="92"/>
      <x:c r="Q199" s="92"/>
      <x:c r="R199" s="92"/>
      <x:c r="S199" s="92"/>
      <x:c r="T199" s="92"/>
      <x:c r="U199" s="92"/>
      <x:c r="V199" s="92"/>
      <x:c r="W199" s="92"/>
      <x:c r="X199" s="92"/>
      <x:c r="Y199" s="92"/>
      <x:c r="Z199" s="92"/>
    </x:row>
    <x:row r="200">
      <x:c r="A200" s="92"/>
      <x:c r="B200" s="92"/>
      <x:c r="C200" s="92"/>
      <x:c r="D200" s="92"/>
      <x:c r="E200" s="92"/>
      <x:c r="F200" s="92"/>
      <x:c r="G200" s="92"/>
      <x:c r="H200" s="92"/>
      <x:c r="I200" s="92"/>
      <x:c r="J200" s="92"/>
      <x:c r="K200" s="92"/>
      <x:c r="L200" s="92"/>
      <x:c r="M200" s="92"/>
      <x:c r="N200" s="92"/>
      <x:c r="O200" s="92"/>
      <x:c r="P200" s="92"/>
      <x:c r="Q200" s="92"/>
      <x:c r="R200" s="92"/>
      <x:c r="S200" s="92"/>
      <x:c r="T200" s="92"/>
      <x:c r="U200" s="92"/>
      <x:c r="V200" s="92"/>
      <x:c r="W200" s="92"/>
      <x:c r="X200" s="92"/>
      <x:c r="Y200" s="92"/>
      <x:c r="Z200" s="92"/>
    </x:row>
  </x:sheetData>
  <x:pageMargins left="0.7" right="0.7" top="0.75" bottom="0.75" header="0.3" footer="0.3"/>
  <x:tableParts count="1">
    <x:tablePart xmlns:r="http://schemas.openxmlformats.org/officeDocument/2006/relationships" r:id="R673f6d3c280d4c98"/>
  </x:tableParts>
</x:worksheet>
</file>

<file path=xl/worksheets/sheet4.xml><?xml version="1.0" encoding="utf-8"?>
<x:worksheet xmlns:x="http://schemas.openxmlformats.org/spreadsheetml/2006/main">
  <x:sheetFormatPr defaultRowHeight="15"/>
  <x:cols>
    <x:col min="1" max="1" width="24" hidden="0" customWidth="1"/>
    <x:col min="2" max="2" width="34" hidden="0" customWidth="1"/>
    <x:col min="3" max="3" width="92" hidden="0" customWidth="1"/>
  </x:cols>
  <x:sheetData>
    <x:row r="1">
      <x:c r="A1" s="93" t="str">
        <x:v>Area</x:v>
      </x:c>
      <x:c r="B1" s="95" t="str">
        <x:v>Test Item</x:v>
      </x:c>
      <x:c r="C1" s="94" t="str">
        <x:v>Recommended Setup / Use</x:v>
      </x:c>
      <x:c r="D1" s="92"/>
      <x:c r="E1" s="92"/>
      <x:c r="F1" s="92"/>
      <x:c r="G1" s="92"/>
      <x:c r="H1" s="92"/>
      <x:c r="I1" s="92"/>
      <x:c r="J1" s="92"/>
      <x:c r="K1" s="92"/>
      <x:c r="L1" s="92"/>
      <x:c r="M1" s="92"/>
      <x:c r="N1" s="92"/>
      <x:c r="O1" s="92"/>
      <x:c r="P1" s="92"/>
      <x:c r="Q1" s="92"/>
      <x:c r="R1" s="92"/>
      <x:c r="S1" s="92"/>
      <x:c r="T1" s="92"/>
      <x:c r="U1" s="92"/>
      <x:c r="V1" s="92"/>
      <x:c r="W1" s="92"/>
      <x:c r="X1" s="92"/>
      <x:c r="Y1" s="92"/>
      <x:c r="Z1" s="92"/>
    </x:row>
    <x:row r="2" ht="48" customHeight="1">
      <x:c r="A2" s="106" t="str">
        <x:v>Accounts / Roles</x:v>
      </x:c>
      <x:c r="B2" s="107" t="str">
        <x:v>User A - Clinician/Editor</x:v>
      </x:c>
      <x:c r="C2" s="108" t="str">
        <x:v>Owns Sessions A1-A5; may review/edit/export/retry as approved.</x:v>
      </x:c>
      <x:c r="D2" s="92"/>
      <x:c r="E2" s="92"/>
      <x:c r="F2" s="92"/>
      <x:c r="G2" s="92"/>
      <x:c r="H2" s="92"/>
      <x:c r="I2" s="92"/>
      <x:c r="J2" s="92"/>
      <x:c r="K2" s="92"/>
      <x:c r="L2" s="92"/>
      <x:c r="M2" s="92"/>
      <x:c r="N2" s="92"/>
      <x:c r="O2" s="92"/>
      <x:c r="P2" s="92"/>
      <x:c r="Q2" s="92"/>
      <x:c r="R2" s="92"/>
      <x:c r="S2" s="92"/>
      <x:c r="T2" s="92"/>
      <x:c r="U2" s="92"/>
      <x:c r="V2" s="92"/>
      <x:c r="W2" s="92"/>
      <x:c r="X2" s="92"/>
      <x:c r="Y2" s="92"/>
      <x:c r="Z2" s="92"/>
    </x:row>
    <x:row r="3" ht="48" customHeight="1">
      <x:c r="A3" s="106" t="str">
        <x:v>Accounts / Roles</x:v>
      </x:c>
      <x:c r="B3" s="107" t="str">
        <x:v>User B - Clinician/Editor</x:v>
      </x:c>
      <x:c r="C3" s="108" t="str">
        <x:v>Owns Sessions B1-B5; used for data-isolation tests.</x:v>
      </x:c>
      <x:c r="D3" s="92"/>
      <x:c r="E3" s="92"/>
      <x:c r="F3" s="92"/>
      <x:c r="G3" s="92"/>
      <x:c r="H3" s="92"/>
      <x:c r="I3" s="92"/>
      <x:c r="J3" s="92"/>
      <x:c r="K3" s="92"/>
      <x:c r="L3" s="92"/>
      <x:c r="M3" s="92"/>
      <x:c r="N3" s="92"/>
      <x:c r="O3" s="92"/>
      <x:c r="P3" s="92"/>
      <x:c r="Q3" s="92"/>
      <x:c r="R3" s="92"/>
      <x:c r="S3" s="92"/>
      <x:c r="T3" s="92"/>
      <x:c r="U3" s="92"/>
      <x:c r="V3" s="92"/>
      <x:c r="W3" s="92"/>
      <x:c r="X3" s="92"/>
      <x:c r="Y3" s="92"/>
      <x:c r="Z3" s="92"/>
    </x:row>
    <x:row r="4" ht="48" customHeight="1">
      <x:c r="A4" s="106" t="str">
        <x:v>Accounts / Roles</x:v>
      </x:c>
      <x:c r="B4" s="107" t="str">
        <x:v>Viewer</x:v>
      </x:c>
      <x:c r="C4" s="108" t="str">
        <x:v>Read-only access if this role exists.</x:v>
      </x:c>
      <x:c r="D4" s="92"/>
      <x:c r="E4" s="92"/>
      <x:c r="F4" s="92"/>
      <x:c r="G4" s="92"/>
      <x:c r="H4" s="92"/>
      <x:c r="I4" s="92"/>
      <x:c r="J4" s="92"/>
      <x:c r="K4" s="92"/>
      <x:c r="L4" s="92"/>
      <x:c r="M4" s="92"/>
      <x:c r="N4" s="92"/>
      <x:c r="O4" s="92"/>
      <x:c r="P4" s="92"/>
      <x:c r="Q4" s="92"/>
      <x:c r="R4" s="92"/>
      <x:c r="S4" s="92"/>
      <x:c r="T4" s="92"/>
      <x:c r="U4" s="92"/>
      <x:c r="V4" s="92"/>
      <x:c r="W4" s="92"/>
      <x:c r="X4" s="92"/>
      <x:c r="Y4" s="92"/>
      <x:c r="Z4" s="92"/>
    </x:row>
    <x:row r="5" ht="48" customHeight="1">
      <x:c r="A5" s="106" t="str">
        <x:v>Accounts / Roles</x:v>
      </x:c>
      <x:c r="B5" s="107" t="str">
        <x:v>Admin</x:v>
      </x:c>
      <x:c r="C5" s="108" t="str">
        <x:v>Administrative/reprocess access if this role exists.</x:v>
      </x:c>
      <x:c r="D5" s="92"/>
      <x:c r="E5" s="92"/>
      <x:c r="F5" s="92"/>
      <x:c r="G5" s="92"/>
      <x:c r="H5" s="92"/>
      <x:c r="I5" s="92"/>
      <x:c r="J5" s="92"/>
      <x:c r="K5" s="92"/>
      <x:c r="L5" s="92"/>
      <x:c r="M5" s="92"/>
      <x:c r="N5" s="92"/>
      <x:c r="O5" s="92"/>
      <x:c r="P5" s="92"/>
      <x:c r="Q5" s="92"/>
      <x:c r="R5" s="92"/>
      <x:c r="S5" s="92"/>
      <x:c r="T5" s="92"/>
      <x:c r="U5" s="92"/>
      <x:c r="V5" s="92"/>
      <x:c r="W5" s="92"/>
      <x:c r="X5" s="92"/>
      <x:c r="Y5" s="92"/>
      <x:c r="Z5" s="92"/>
    </x:row>
    <x:row r="6" ht="48" customHeight="1">
      <x:c r="A6" s="106" t="str">
        <x:v>Recorder / Accessories</x:v>
      </x:c>
      <x:c r="B6" s="107" t="str">
        <x:v>Recorder R1 and R2</x:v>
      </x:c>
      <x:c r="C6" s="108" t="str">
        <x:v>Record serial number, firmware version, assigned account, battery health, and storage capacity.</x:v>
      </x:c>
      <x:c r="D6" s="92"/>
      <x:c r="E6" s="92"/>
      <x:c r="F6" s="92"/>
      <x:c r="G6" s="92"/>
      <x:c r="H6" s="92"/>
      <x:c r="I6" s="92"/>
      <x:c r="J6" s="92"/>
      <x:c r="K6" s="92"/>
      <x:c r="L6" s="92"/>
      <x:c r="M6" s="92"/>
      <x:c r="N6" s="92"/>
      <x:c r="O6" s="92"/>
      <x:c r="P6" s="92"/>
      <x:c r="Q6" s="92"/>
      <x:c r="R6" s="92"/>
      <x:c r="S6" s="92"/>
      <x:c r="T6" s="92"/>
      <x:c r="U6" s="92"/>
      <x:c r="V6" s="92"/>
      <x:c r="W6" s="92"/>
      <x:c r="X6" s="92"/>
      <x:c r="Y6" s="92"/>
      <x:c r="Z6" s="92"/>
    </x:row>
    <x:row r="7" ht="48" customHeight="1">
      <x:c r="A7" s="106" t="str">
        <x:v>Recorder / Accessories</x:v>
      </x:c>
      <x:c r="B7" s="107" t="str">
        <x:v>BLE Device A and B</x:v>
      </x:c>
      <x:c r="C7" s="108" t="str">
        <x:v>Use clearly labeled physical devices with known IDs; test separately and in crowded discovery.</x:v>
      </x:c>
      <x:c r="D7" s="92"/>
      <x:c r="E7" s="92"/>
      <x:c r="F7" s="92"/>
      <x:c r="G7" s="92"/>
      <x:c r="H7" s="92"/>
      <x:c r="I7" s="92"/>
      <x:c r="J7" s="92"/>
      <x:c r="K7" s="92"/>
      <x:c r="L7" s="92"/>
      <x:c r="M7" s="92"/>
      <x:c r="N7" s="92"/>
      <x:c r="O7" s="92"/>
      <x:c r="P7" s="92"/>
      <x:c r="Q7" s="92"/>
      <x:c r="R7" s="92"/>
      <x:c r="S7" s="92"/>
      <x:c r="T7" s="92"/>
      <x:c r="U7" s="92"/>
      <x:c r="V7" s="92"/>
      <x:c r="W7" s="92"/>
      <x:c r="X7" s="92"/>
      <x:c r="Y7" s="92"/>
      <x:c r="Z7" s="92"/>
    </x:row>
    <x:row r="8" ht="48" customHeight="1">
      <x:c r="A8" s="106" t="str">
        <x:v>Phones</x:v>
      </x:c>
      <x:c r="B8" s="107" t="str">
        <x:v>Oldest supported iPhone</x:v>
      </x:c>
      <x:c r="C8" s="108" t="str">
        <x:v>Record iOS version, app version, free storage, battery settings, and background permissions.</x:v>
      </x:c>
      <x:c r="D8" s="92"/>
      <x:c r="E8" s="92"/>
      <x:c r="F8" s="92"/>
      <x:c r="G8" s="92"/>
      <x:c r="H8" s="92"/>
      <x:c r="I8" s="92"/>
      <x:c r="J8" s="92"/>
      <x:c r="K8" s="92"/>
      <x:c r="L8" s="92"/>
      <x:c r="M8" s="92"/>
      <x:c r="N8" s="92"/>
      <x:c r="O8" s="92"/>
      <x:c r="P8" s="92"/>
      <x:c r="Q8" s="92"/>
      <x:c r="R8" s="92"/>
      <x:c r="S8" s="92"/>
      <x:c r="T8" s="92"/>
      <x:c r="U8" s="92"/>
      <x:c r="V8" s="92"/>
      <x:c r="W8" s="92"/>
      <x:c r="X8" s="92"/>
      <x:c r="Y8" s="92"/>
      <x:c r="Z8" s="92"/>
    </x:row>
    <x:row r="9" ht="48" customHeight="1">
      <x:c r="A9" s="106" t="str">
        <x:v>Phones</x:v>
      </x:c>
      <x:c r="B9" s="107" t="str">
        <x:v>Current iPhone</x:v>
      </x:c>
      <x:c r="C9" s="108" t="str">
        <x:v>Use for normal and background/lock tests.</x:v>
      </x:c>
      <x:c r="D9" s="92"/>
      <x:c r="E9" s="92"/>
      <x:c r="F9" s="92"/>
      <x:c r="G9" s="92"/>
      <x:c r="H9" s="92"/>
      <x:c r="I9" s="92"/>
      <x:c r="J9" s="92"/>
      <x:c r="K9" s="92"/>
      <x:c r="L9" s="92"/>
      <x:c r="M9" s="92"/>
      <x:c r="N9" s="92"/>
      <x:c r="O9" s="92"/>
      <x:c r="P9" s="92"/>
      <x:c r="Q9" s="92"/>
      <x:c r="R9" s="92"/>
      <x:c r="S9" s="92"/>
      <x:c r="T9" s="92"/>
      <x:c r="U9" s="92"/>
      <x:c r="V9" s="92"/>
      <x:c r="W9" s="92"/>
      <x:c r="X9" s="92"/>
      <x:c r="Y9" s="92"/>
      <x:c r="Z9" s="92"/>
    </x:row>
    <x:row r="10" ht="48" customHeight="1">
      <x:c r="A10" s="106" t="str">
        <x:v>Phones</x:v>
      </x:c>
      <x:c r="B10" s="107" t="str">
        <x:v>Low-end supported Android</x:v>
      </x:c>
      <x:c r="C10" s="108" t="str">
        <x:v>Use for minimum-hardware, memory, battery-saver, and degraded-network tests.</x:v>
      </x:c>
      <x:c r="D10" s="92"/>
      <x:c r="E10" s="92"/>
      <x:c r="F10" s="92"/>
      <x:c r="G10" s="92"/>
      <x:c r="H10" s="92"/>
      <x:c r="I10" s="92"/>
      <x:c r="J10" s="92"/>
      <x:c r="K10" s="92"/>
      <x:c r="L10" s="92"/>
      <x:c r="M10" s="92"/>
      <x:c r="N10" s="92"/>
      <x:c r="O10" s="92"/>
      <x:c r="P10" s="92"/>
      <x:c r="Q10" s="92"/>
      <x:c r="R10" s="92"/>
      <x:c r="S10" s="92"/>
      <x:c r="T10" s="92"/>
      <x:c r="U10" s="92"/>
      <x:c r="V10" s="92"/>
      <x:c r="W10" s="92"/>
      <x:c r="X10" s="92"/>
      <x:c r="Y10" s="92"/>
      <x:c r="Z10" s="92"/>
    </x:row>
    <x:row r="11" ht="48" customHeight="1">
      <x:c r="A11" s="106" t="str">
        <x:v>Phones</x:v>
      </x:c>
      <x:c r="B11" s="107" t="str">
        <x:v>Current Android flagship</x:v>
      </x:c>
      <x:c r="C11" s="108" t="str">
        <x:v>Use for normal reference tests.</x:v>
      </x:c>
      <x:c r="D11" s="92"/>
      <x:c r="E11" s="92"/>
      <x:c r="F11" s="92"/>
      <x:c r="G11" s="92"/>
      <x:c r="H11" s="92"/>
      <x:c r="I11" s="92"/>
      <x:c r="J11" s="92"/>
      <x:c r="K11" s="92"/>
      <x:c r="L11" s="92"/>
      <x:c r="M11" s="92"/>
      <x:c r="N11" s="92"/>
      <x:c r="O11" s="92"/>
      <x:c r="P11" s="92"/>
      <x:c r="Q11" s="92"/>
      <x:c r="R11" s="92"/>
      <x:c r="S11" s="92"/>
      <x:c r="T11" s="92"/>
      <x:c r="U11" s="92"/>
      <x:c r="V11" s="92"/>
      <x:c r="W11" s="92"/>
      <x:c r="X11" s="92"/>
      <x:c r="Y11" s="92"/>
      <x:c r="Z11" s="92"/>
    </x:row>
    <x:row r="12" ht="48" customHeight="1">
      <x:c r="A12" s="106" t="str">
        <x:v>Browsers</x:v>
      </x:c>
      <x:c r="B12" s="107" t="str">
        <x:v>Chrome / Edge / Safari</x:v>
      </x:c>
      <x:c r="C12" s="108" t="str">
        <x:v>Record exact version and operating system.</x:v>
      </x:c>
      <x:c r="D12" s="92"/>
      <x:c r="E12" s="92"/>
      <x:c r="F12" s="92"/>
      <x:c r="G12" s="92"/>
      <x:c r="H12" s="92"/>
      <x:c r="I12" s="92"/>
      <x:c r="J12" s="92"/>
      <x:c r="K12" s="92"/>
      <x:c r="L12" s="92"/>
      <x:c r="M12" s="92"/>
      <x:c r="N12" s="92"/>
      <x:c r="O12" s="92"/>
      <x:c r="P12" s="92"/>
      <x:c r="Q12" s="92"/>
      <x:c r="R12" s="92"/>
      <x:c r="S12" s="92"/>
      <x:c r="T12" s="92"/>
      <x:c r="U12" s="92"/>
      <x:c r="V12" s="92"/>
      <x:c r="W12" s="92"/>
      <x:c r="X12" s="92"/>
      <x:c r="Y12" s="92"/>
      <x:c r="Z12" s="92"/>
    </x:row>
    <x:row r="13" ht="48" customHeight="1">
      <x:c r="A13" s="106" t="str">
        <x:v>Network Profiles</x:v>
      </x:c>
      <x:c r="B13" s="107" t="str">
        <x:v>Stable Internet</x:v>
      </x:c>
      <x:c r="C13" s="108" t="str">
        <x:v>Baseline: reliable Wi-Fi with sufficient bandwidth.</x:v>
      </x:c>
      <x:c r="D13" s="92"/>
      <x:c r="E13" s="92"/>
      <x:c r="F13" s="92"/>
      <x:c r="G13" s="92"/>
      <x:c r="H13" s="92"/>
      <x:c r="I13" s="92"/>
      <x:c r="J13" s="92"/>
      <x:c r="K13" s="92"/>
      <x:c r="L13" s="92"/>
      <x:c r="M13" s="92"/>
      <x:c r="N13" s="92"/>
      <x:c r="O13" s="92"/>
      <x:c r="P13" s="92"/>
      <x:c r="Q13" s="92"/>
      <x:c r="R13" s="92"/>
      <x:c r="S13" s="92"/>
      <x:c r="T13" s="92"/>
      <x:c r="U13" s="92"/>
      <x:c r="V13" s="92"/>
      <x:c r="W13" s="92"/>
      <x:c r="X13" s="92"/>
      <x:c r="Y13" s="92"/>
      <x:c r="Z13" s="92"/>
    </x:row>
    <x:row r="14" ht="48" customHeight="1">
      <x:c r="A14" s="106" t="str">
        <x:v>Network Profiles</x:v>
      </x:c>
      <x:c r="B14" s="107" t="str">
        <x:v>Offline</x:v>
      </x:c>
      <x:c r="C14" s="108" t="str">
        <x:v>No Wi-Fi and no cellular/backhaul connectivity.</x:v>
      </x:c>
      <x:c r="D14" s="92"/>
      <x:c r="E14" s="92"/>
      <x:c r="F14" s="92"/>
      <x:c r="G14" s="92"/>
      <x:c r="H14" s="92"/>
      <x:c r="I14" s="92"/>
      <x:c r="J14" s="92"/>
      <x:c r="K14" s="92"/>
      <x:c r="L14" s="92"/>
      <x:c r="M14" s="92"/>
      <x:c r="N14" s="92"/>
      <x:c r="O14" s="92"/>
      <x:c r="P14" s="92"/>
      <x:c r="Q14" s="92"/>
      <x:c r="R14" s="92"/>
      <x:c r="S14" s="92"/>
      <x:c r="T14" s="92"/>
      <x:c r="U14" s="92"/>
      <x:c r="V14" s="92"/>
      <x:c r="W14" s="92"/>
      <x:c r="X14" s="92"/>
      <x:c r="Y14" s="92"/>
      <x:c r="Z14" s="92"/>
    </x:row>
    <x:row r="15" ht="48" customHeight="1">
      <x:c r="A15" s="106" t="str">
        <x:v>Network Profiles</x:v>
      </x:c>
      <x:c r="B15" s="107" t="str">
        <x:v>Wi-Fi without Internet</x:v>
      </x:c>
      <x:c r="C15" s="108" t="str">
        <x:v>Associated to router, but backend is unreachable.</x:v>
      </x:c>
      <x:c r="D15" s="92"/>
      <x:c r="E15" s="92"/>
      <x:c r="F15" s="92"/>
      <x:c r="G15" s="92"/>
      <x:c r="H15" s="92"/>
      <x:c r="I15" s="92"/>
      <x:c r="J15" s="92"/>
      <x:c r="K15" s="92"/>
      <x:c r="L15" s="92"/>
      <x:c r="M15" s="92"/>
      <x:c r="N15" s="92"/>
      <x:c r="O15" s="92"/>
      <x:c r="P15" s="92"/>
      <x:c r="Q15" s="92"/>
      <x:c r="R15" s="92"/>
      <x:c r="S15" s="92"/>
      <x:c r="T15" s="92"/>
      <x:c r="U15" s="92"/>
      <x:c r="V15" s="92"/>
      <x:c r="W15" s="92"/>
      <x:c r="X15" s="92"/>
      <x:c r="Y15" s="92"/>
      <x:c r="Z15" s="92"/>
    </x:row>
    <x:row r="16" ht="48" customHeight="1">
      <x:c r="A16" s="106" t="str">
        <x:v>Network Profiles</x:v>
      </x:c>
      <x:c r="B16" s="107" t="str">
        <x:v>Captive portal</x:v>
      </x:c>
      <x:c r="C16" s="108" t="str">
        <x:v>Wi-Fi requires browser sign-in.</x:v>
      </x:c>
      <x:c r="D16" s="92"/>
      <x:c r="E16" s="92"/>
      <x:c r="F16" s="92"/>
      <x:c r="G16" s="92"/>
      <x:c r="H16" s="92"/>
      <x:c r="I16" s="92"/>
      <x:c r="J16" s="92"/>
      <x:c r="K16" s="92"/>
      <x:c r="L16" s="92"/>
      <x:c r="M16" s="92"/>
      <x:c r="N16" s="92"/>
      <x:c r="O16" s="92"/>
      <x:c r="P16" s="92"/>
      <x:c r="Q16" s="92"/>
      <x:c r="R16" s="92"/>
      <x:c r="S16" s="92"/>
      <x:c r="T16" s="92"/>
      <x:c r="U16" s="92"/>
      <x:c r="V16" s="92"/>
      <x:c r="W16" s="92"/>
      <x:c r="X16" s="92"/>
      <x:c r="Y16" s="92"/>
      <x:c r="Z16" s="92"/>
    </x:row>
    <x:row r="17" ht="48" customHeight="1">
      <x:c r="A17" s="106" t="str">
        <x:v>Network Profiles</x:v>
      </x:c>
      <x:c r="B17" s="107" t="str">
        <x:v>Weak/flapping</x:v>
      </x:c>
      <x:c r="C17" s="108" t="str">
        <x:v>Repeated online/offline cycles, high latency, packet loss, or low bandwidth.</x:v>
      </x:c>
      <x:c r="D17" s="92"/>
      <x:c r="E17" s="92"/>
      <x:c r="F17" s="92"/>
      <x:c r="G17" s="92"/>
      <x:c r="H17" s="92"/>
      <x:c r="I17" s="92"/>
      <x:c r="J17" s="92"/>
      <x:c r="K17" s="92"/>
      <x:c r="L17" s="92"/>
      <x:c r="M17" s="92"/>
      <x:c r="N17" s="92"/>
      <x:c r="O17" s="92"/>
      <x:c r="P17" s="92"/>
      <x:c r="Q17" s="92"/>
      <x:c r="R17" s="92"/>
      <x:c r="S17" s="92"/>
      <x:c r="T17" s="92"/>
      <x:c r="U17" s="92"/>
      <x:c r="V17" s="92"/>
      <x:c r="W17" s="92"/>
      <x:c r="X17" s="92"/>
      <x:c r="Y17" s="92"/>
      <x:c r="Z17" s="92"/>
    </x:row>
    <x:row r="18" ht="48" customHeight="1">
      <x:c r="A18" s="106" t="str">
        <x:v>Network Profiles</x:v>
      </x:c>
      <x:c r="B18" s="107" t="str">
        <x:v>Network switch</x:v>
      </x:c>
      <x:c r="C18" s="108" t="str">
        <x:v>Move from Wi-Fi A to Wi-Fi B or hotspot during upload.</x:v>
      </x:c>
      <x:c r="D18" s="92"/>
      <x:c r="E18" s="92"/>
      <x:c r="F18" s="92"/>
      <x:c r="G18" s="92"/>
      <x:c r="H18" s="92"/>
      <x:c r="I18" s="92"/>
      <x:c r="J18" s="92"/>
      <x:c r="K18" s="92"/>
      <x:c r="L18" s="92"/>
      <x:c r="M18" s="92"/>
      <x:c r="N18" s="92"/>
      <x:c r="O18" s="92"/>
      <x:c r="P18" s="92"/>
      <x:c r="Q18" s="92"/>
      <x:c r="R18" s="92"/>
      <x:c r="S18" s="92"/>
      <x:c r="T18" s="92"/>
      <x:c r="U18" s="92"/>
      <x:c r="V18" s="92"/>
      <x:c r="W18" s="92"/>
      <x:c r="X18" s="92"/>
      <x:c r="Y18" s="92"/>
      <x:c r="Z18" s="92"/>
    </x:row>
    <x:row r="19" ht="48" customHeight="1">
      <x:c r="A19" s="106" t="str">
        <x:v>Audio Assets</x:v>
      </x:c>
      <x:c r="B19" s="107" t="str">
        <x:v>15-second minimum-boundary sample</x:v>
      </x:c>
      <x:c r="C19" s="108" t="str">
        <x:v>One clearly spoken sentence and a unique session label.</x:v>
      </x:c>
      <x:c r="D19" s="92"/>
      <x:c r="E19" s="92"/>
      <x:c r="F19" s="92"/>
      <x:c r="G19" s="92"/>
      <x:c r="H19" s="92"/>
      <x:c r="I19" s="92"/>
      <x:c r="J19" s="92"/>
      <x:c r="K19" s="92"/>
      <x:c r="L19" s="92"/>
      <x:c r="M19" s="92"/>
      <x:c r="N19" s="92"/>
      <x:c r="O19" s="92"/>
      <x:c r="P19" s="92"/>
      <x:c r="Q19" s="92"/>
      <x:c r="R19" s="92"/>
      <x:c r="S19" s="92"/>
      <x:c r="T19" s="92"/>
      <x:c r="U19" s="92"/>
      <x:c r="V19" s="92"/>
      <x:c r="W19" s="92"/>
      <x:c r="X19" s="92"/>
      <x:c r="Y19" s="92"/>
      <x:c r="Z19" s="92"/>
    </x:row>
    <x:row r="20" ht="48" customHeight="1">
      <x:c r="A20" s="106" t="str">
        <x:v>Audio Assets</x:v>
      </x:c>
      <x:c r="B20" s="107" t="str">
        <x:v>2-5 minute standard sample</x:v>
      </x:c>
      <x:c r="C20" s="108" t="str">
        <x:v>Beginning and end markers: 'Session &lt;ID&gt; begins now' and 'Session &lt;ID&gt; ends now.'</x:v>
      </x:c>
      <x:c r="D20" s="92"/>
      <x:c r="E20" s="92"/>
      <x:c r="F20" s="92"/>
      <x:c r="G20" s="92"/>
      <x:c r="H20" s="92"/>
      <x:c r="I20" s="92"/>
      <x:c r="J20" s="92"/>
      <x:c r="K20" s="92"/>
      <x:c r="L20" s="92"/>
      <x:c r="M20" s="92"/>
      <x:c r="N20" s="92"/>
      <x:c r="O20" s="92"/>
      <x:c r="P20" s="92"/>
      <x:c r="Q20" s="92"/>
      <x:c r="R20" s="92"/>
      <x:c r="S20" s="92"/>
      <x:c r="T20" s="92"/>
      <x:c r="U20" s="92"/>
      <x:c r="V20" s="92"/>
      <x:c r="W20" s="92"/>
      <x:c r="X20" s="92"/>
      <x:c r="Y20" s="92"/>
      <x:c r="Z20" s="92"/>
    </x:row>
    <x:row r="21" ht="48" customHeight="1">
      <x:c r="A21" s="106" t="str">
        <x:v>Audio Assets</x:v>
      </x:c>
      <x:c r="B21" s="107" t="str">
        <x:v>Silent sample</x:v>
      </x:c>
      <x:c r="C21" s="108" t="str">
        <x:v>Room tone only; no intentional speech.</x:v>
      </x:c>
      <x:c r="D21" s="92"/>
      <x:c r="E21" s="92"/>
      <x:c r="F21" s="92"/>
      <x:c r="G21" s="92"/>
      <x:c r="H21" s="92"/>
      <x:c r="I21" s="92"/>
      <x:c r="J21" s="92"/>
      <x:c r="K21" s="92"/>
      <x:c r="L21" s="92"/>
      <x:c r="M21" s="92"/>
      <x:c r="N21" s="92"/>
      <x:c r="O21" s="92"/>
      <x:c r="P21" s="92"/>
      <x:c r="Q21" s="92"/>
      <x:c r="R21" s="92"/>
      <x:c r="S21" s="92"/>
      <x:c r="T21" s="92"/>
      <x:c r="U21" s="92"/>
      <x:c r="V21" s="92"/>
      <x:c r="W21" s="92"/>
      <x:c r="X21" s="92"/>
      <x:c r="Y21" s="92"/>
      <x:c r="Z21" s="92"/>
    </x:row>
    <x:row r="22" ht="48" customHeight="1">
      <x:c r="A22" s="106" t="str">
        <x:v>Audio Assets</x:v>
      </x:c>
      <x:c r="B22" s="107" t="str">
        <x:v>Noisy/multi-speaker sample</x:v>
      </x:c>
      <x:c r="C22" s="108" t="str">
        <x:v>Background noise, two speakers, overlap, pauses, and interruptions.</x:v>
      </x:c>
      <x:c r="D22" s="92"/>
      <x:c r="E22" s="92"/>
      <x:c r="F22" s="92"/>
      <x:c r="G22" s="92"/>
      <x:c r="H22" s="92"/>
      <x:c r="I22" s="92"/>
      <x:c r="J22" s="92"/>
      <x:c r="K22" s="92"/>
      <x:c r="L22" s="92"/>
      <x:c r="M22" s="92"/>
      <x:c r="N22" s="92"/>
      <x:c r="O22" s="92"/>
      <x:c r="P22" s="92"/>
      <x:c r="Q22" s="92"/>
      <x:c r="R22" s="92"/>
      <x:c r="S22" s="92"/>
      <x:c r="T22" s="92"/>
      <x:c r="U22" s="92"/>
      <x:c r="V22" s="92"/>
      <x:c r="W22" s="92"/>
      <x:c r="X22" s="92"/>
      <x:c r="Y22" s="92"/>
      <x:c r="Z22" s="92"/>
    </x:row>
    <x:row r="23" ht="48" customHeight="1">
      <x:c r="A23" s="106" t="str">
        <x:v>Audio Assets</x:v>
      </x:c>
      <x:c r="B23" s="107" t="str">
        <x:v>30/45/60 minute samples</x:v>
      </x:c>
      <x:c r="C23" s="108" t="str">
        <x:v>Markers every 10 minutes plus beginning/end labels.</x:v>
      </x:c>
      <x:c r="D23" s="92"/>
      <x:c r="E23" s="92"/>
      <x:c r="F23" s="92"/>
      <x:c r="G23" s="92"/>
      <x:c r="H23" s="92"/>
      <x:c r="I23" s="92"/>
      <x:c r="J23" s="92"/>
      <x:c r="K23" s="92"/>
      <x:c r="L23" s="92"/>
      <x:c r="M23" s="92"/>
      <x:c r="N23" s="92"/>
      <x:c r="O23" s="92"/>
      <x:c r="P23" s="92"/>
      <x:c r="Q23" s="92"/>
      <x:c r="R23" s="92"/>
      <x:c r="S23" s="92"/>
      <x:c r="T23" s="92"/>
      <x:c r="U23" s="92"/>
      <x:c r="V23" s="92"/>
      <x:c r="W23" s="92"/>
      <x:c r="X23" s="92"/>
      <x:c r="Y23" s="92"/>
      <x:c r="Z23" s="92"/>
    </x:row>
    <x:row r="24" ht="48" customHeight="1">
      <x:c r="A24" s="106" t="str">
        <x:v>Audio Assets</x:v>
      </x:c>
      <x:c r="B24" s="107" t="str">
        <x:v>Special-character transcript</x:v>
      </x:c>
      <x:c r="C24" s="108" t="str">
        <x:v>IPA, apostrophes, hyphens, accented characters, Unicode, speaker labels, and long tokens.</x:v>
      </x:c>
      <x:c r="D24" s="92"/>
      <x:c r="E24" s="92"/>
      <x:c r="F24" s="92"/>
      <x:c r="G24" s="92"/>
      <x:c r="H24" s="92"/>
      <x:c r="I24" s="92"/>
      <x:c r="J24" s="92"/>
      <x:c r="K24" s="92"/>
      <x:c r="L24" s="92"/>
      <x:c r="M24" s="92"/>
      <x:c r="N24" s="92"/>
      <x:c r="O24" s="92"/>
      <x:c r="P24" s="92"/>
      <x:c r="Q24" s="92"/>
      <x:c r="R24" s="92"/>
      <x:c r="S24" s="92"/>
      <x:c r="T24" s="92"/>
      <x:c r="U24" s="92"/>
      <x:c r="V24" s="92"/>
      <x:c r="W24" s="92"/>
      <x:c r="X24" s="92"/>
      <x:c r="Y24" s="92"/>
      <x:c r="Z24" s="92"/>
    </x:row>
    <x:row r="25" ht="48" customHeight="1">
      <x:c r="A25" s="106" t="str">
        <x:v>Evidence</x:v>
      </x:c>
      <x:c r="B25" s="107" t="str">
        <x:v>Required for every P0 test</x:v>
      </x:c>
      <x:c r="C25" s="108" t="str">
        <x:v>Session ID, account, device ID, app/firmware version, timestamps, screenshots/video, local/server duration and size, logs/request IDs, transcript screenshot, and PDF when applicable.</x:v>
      </x:c>
      <x:c r="D25" s="92"/>
      <x:c r="E25" s="92"/>
      <x:c r="F25" s="92"/>
      <x:c r="G25" s="92"/>
      <x:c r="H25" s="92"/>
      <x:c r="I25" s="92"/>
      <x:c r="J25" s="92"/>
      <x:c r="K25" s="92"/>
      <x:c r="L25" s="92"/>
      <x:c r="M25" s="92"/>
      <x:c r="N25" s="92"/>
      <x:c r="O25" s="92"/>
      <x:c r="P25" s="92"/>
      <x:c r="Q25" s="92"/>
      <x:c r="R25" s="92"/>
      <x:c r="S25" s="92"/>
      <x:c r="T25" s="92"/>
      <x:c r="U25" s="92"/>
      <x:c r="V25" s="92"/>
      <x:c r="W25" s="92"/>
      <x:c r="X25" s="92"/>
      <x:c r="Y25" s="92"/>
      <x:c r="Z25" s="92"/>
    </x:row>
    <x:row r="26" ht="48" customHeight="1">
      <x:c r="A26" s="109" t="str">
        <x:v>Defect severity</x:v>
      </x:c>
      <x:c r="B26" s="110" t="str">
        <x:v>Release blocker</x:v>
      </x:c>
      <x:c r="C26" s="111" t="str">
        <x:v>Any loss, corruption, cross-user exposure, wrong-patient/session association, unrecoverable P0 workflow, duplicate canonical session, or false Completed state.</x:v>
      </x:c>
      <x:c r="D26" s="92"/>
      <x:c r="E26" s="92"/>
      <x:c r="F26" s="92"/>
      <x:c r="G26" s="92"/>
      <x:c r="H26" s="92"/>
      <x:c r="I26" s="92"/>
      <x:c r="J26" s="92"/>
      <x:c r="K26" s="92"/>
      <x:c r="L26" s="92"/>
      <x:c r="M26" s="92"/>
      <x:c r="N26" s="92"/>
      <x:c r="O26" s="92"/>
      <x:c r="P26" s="92"/>
      <x:c r="Q26" s="92"/>
      <x:c r="R26" s="92"/>
      <x:c r="S26" s="92"/>
      <x:c r="T26" s="92"/>
      <x:c r="U26" s="92"/>
      <x:c r="V26" s="92"/>
      <x:c r="W26" s="92"/>
      <x:c r="X26" s="92"/>
      <x:c r="Y26" s="92"/>
      <x:c r="Z26" s="92"/>
    </x:row>
    <x:row r="27">
      <x:c r="A27" s="92"/>
      <x:c r="B27" s="92"/>
      <x:c r="C27" s="92"/>
      <x:c r="D27" s="92"/>
      <x:c r="E27" s="92"/>
      <x:c r="F27" s="92"/>
      <x:c r="G27" s="92"/>
      <x:c r="H27" s="92"/>
      <x:c r="I27" s="92"/>
      <x:c r="J27" s="92"/>
      <x:c r="K27" s="92"/>
      <x:c r="L27" s="92"/>
      <x:c r="M27" s="92"/>
      <x:c r="N27" s="92"/>
      <x:c r="O27" s="92"/>
      <x:c r="P27" s="92"/>
      <x:c r="Q27" s="92"/>
      <x:c r="R27" s="92"/>
      <x:c r="S27" s="92"/>
      <x:c r="T27" s="92"/>
      <x:c r="U27" s="92"/>
      <x:c r="V27" s="92"/>
      <x:c r="W27" s="92"/>
      <x:c r="X27" s="92"/>
      <x:c r="Y27" s="92"/>
      <x:c r="Z27" s="92"/>
    </x:row>
    <x:row r="28">
      <x:c r="A28" s="92"/>
      <x:c r="B28" s="92"/>
      <x:c r="C28" s="92"/>
      <x:c r="D28" s="92"/>
      <x:c r="E28" s="92"/>
      <x:c r="F28" s="92"/>
      <x:c r="G28" s="92"/>
      <x:c r="H28" s="92"/>
      <x:c r="I28" s="92"/>
      <x:c r="J28" s="92"/>
      <x:c r="K28" s="92"/>
      <x:c r="L28" s="92"/>
      <x:c r="M28" s="92"/>
      <x:c r="N28" s="92"/>
      <x:c r="O28" s="92"/>
      <x:c r="P28" s="92"/>
      <x:c r="Q28" s="92"/>
      <x:c r="R28" s="92"/>
      <x:c r="S28" s="92"/>
      <x:c r="T28" s="92"/>
      <x:c r="U28" s="92"/>
      <x:c r="V28" s="92"/>
      <x:c r="W28" s="92"/>
      <x:c r="X28" s="92"/>
      <x:c r="Y28" s="92"/>
      <x:c r="Z28" s="92"/>
    </x:row>
    <x:row r="29">
      <x:c r="A29" s="92"/>
      <x:c r="B29" s="92"/>
      <x:c r="C29" s="92"/>
      <x:c r="D29" s="92"/>
      <x:c r="E29" s="92"/>
      <x:c r="F29" s="92"/>
      <x:c r="G29" s="92"/>
      <x:c r="H29" s="92"/>
      <x:c r="I29" s="92"/>
      <x:c r="J29" s="92"/>
      <x:c r="K29" s="92"/>
      <x:c r="L29" s="92"/>
      <x:c r="M29" s="92"/>
      <x:c r="N29" s="92"/>
      <x:c r="O29" s="92"/>
      <x:c r="P29" s="92"/>
      <x:c r="Q29" s="92"/>
      <x:c r="R29" s="92"/>
      <x:c r="S29" s="92"/>
      <x:c r="T29" s="92"/>
      <x:c r="U29" s="92"/>
      <x:c r="V29" s="92"/>
      <x:c r="W29" s="92"/>
      <x:c r="X29" s="92"/>
      <x:c r="Y29" s="92"/>
      <x:c r="Z29" s="92"/>
    </x:row>
    <x:row r="30">
      <x:c r="A30" s="92"/>
      <x:c r="B30" s="92"/>
      <x:c r="C30" s="92"/>
      <x:c r="D30" s="92"/>
      <x:c r="E30" s="92"/>
      <x:c r="F30" s="92"/>
      <x:c r="G30" s="92"/>
      <x:c r="H30" s="92"/>
      <x:c r="I30" s="92"/>
      <x:c r="J30" s="92"/>
      <x:c r="K30" s="92"/>
      <x:c r="L30" s="92"/>
      <x:c r="M30" s="92"/>
      <x:c r="N30" s="92"/>
      <x:c r="O30" s="92"/>
      <x:c r="P30" s="92"/>
      <x:c r="Q30" s="92"/>
      <x:c r="R30" s="92"/>
      <x:c r="S30" s="92"/>
      <x:c r="T30" s="92"/>
      <x:c r="U30" s="92"/>
      <x:c r="V30" s="92"/>
      <x:c r="W30" s="92"/>
      <x:c r="X30" s="92"/>
      <x:c r="Y30" s="92"/>
      <x:c r="Z30" s="92"/>
    </x:row>
    <x:row r="31">
      <x:c r="A31" s="92"/>
      <x:c r="B31" s="92"/>
      <x:c r="C31" s="92"/>
      <x:c r="D31" s="92"/>
      <x:c r="E31" s="92"/>
      <x:c r="F31" s="92"/>
      <x:c r="G31" s="92"/>
      <x:c r="H31" s="92"/>
      <x:c r="I31" s="92"/>
      <x:c r="J31" s="92"/>
      <x:c r="K31" s="92"/>
      <x:c r="L31" s="92"/>
      <x:c r="M31" s="92"/>
      <x:c r="N31" s="92"/>
      <x:c r="O31" s="92"/>
      <x:c r="P31" s="92"/>
      <x:c r="Q31" s="92"/>
      <x:c r="R31" s="92"/>
      <x:c r="S31" s="92"/>
      <x:c r="T31" s="92"/>
      <x:c r="U31" s="92"/>
      <x:c r="V31" s="92"/>
      <x:c r="W31" s="92"/>
      <x:c r="X31" s="92"/>
      <x:c r="Y31" s="92"/>
      <x:c r="Z31" s="92"/>
    </x:row>
    <x:row r="32">
      <x:c r="A32" s="92"/>
      <x:c r="B32" s="92"/>
      <x:c r="C32" s="92"/>
      <x:c r="D32" s="92"/>
      <x:c r="E32" s="92"/>
      <x:c r="F32" s="92"/>
      <x:c r="G32" s="92"/>
      <x:c r="H32" s="92"/>
      <x:c r="I32" s="92"/>
      <x:c r="J32" s="92"/>
      <x:c r="K32" s="92"/>
      <x:c r="L32" s="92"/>
      <x:c r="M32" s="92"/>
      <x:c r="N32" s="92"/>
      <x:c r="O32" s="92"/>
      <x:c r="P32" s="92"/>
      <x:c r="Q32" s="92"/>
      <x:c r="R32" s="92"/>
      <x:c r="S32" s="92"/>
      <x:c r="T32" s="92"/>
      <x:c r="U32" s="92"/>
      <x:c r="V32" s="92"/>
      <x:c r="W32" s="92"/>
      <x:c r="X32" s="92"/>
      <x:c r="Y32" s="92"/>
      <x:c r="Z32" s="92"/>
    </x:row>
    <x:row r="33">
      <x:c r="A33" s="92"/>
      <x:c r="B33" s="92"/>
      <x:c r="C33" s="92"/>
      <x:c r="D33" s="92"/>
      <x:c r="E33" s="92"/>
      <x:c r="F33" s="92"/>
      <x:c r="G33" s="92"/>
      <x:c r="H33" s="92"/>
      <x:c r="I33" s="92"/>
      <x:c r="J33" s="92"/>
      <x:c r="K33" s="92"/>
      <x:c r="L33" s="92"/>
      <x:c r="M33" s="92"/>
      <x:c r="N33" s="92"/>
      <x:c r="O33" s="92"/>
      <x:c r="P33" s="92"/>
      <x:c r="Q33" s="92"/>
      <x:c r="R33" s="92"/>
      <x:c r="S33" s="92"/>
      <x:c r="T33" s="92"/>
      <x:c r="U33" s="92"/>
      <x:c r="V33" s="92"/>
      <x:c r="W33" s="92"/>
      <x:c r="X33" s="92"/>
      <x:c r="Y33" s="92"/>
      <x:c r="Z33" s="92"/>
    </x:row>
    <x:row r="34">
      <x:c r="A34" s="92"/>
      <x:c r="B34" s="92"/>
      <x:c r="C34" s="92"/>
      <x:c r="D34" s="92"/>
      <x:c r="E34" s="92"/>
      <x:c r="F34" s="92"/>
      <x:c r="G34" s="92"/>
      <x:c r="H34" s="92"/>
      <x:c r="I34" s="92"/>
      <x:c r="J34" s="92"/>
      <x:c r="K34" s="92"/>
      <x:c r="L34" s="92"/>
      <x:c r="M34" s="92"/>
      <x:c r="N34" s="92"/>
      <x:c r="O34" s="92"/>
      <x:c r="P34" s="92"/>
      <x:c r="Q34" s="92"/>
      <x:c r="R34" s="92"/>
      <x:c r="S34" s="92"/>
      <x:c r="T34" s="92"/>
      <x:c r="U34" s="92"/>
      <x:c r="V34" s="92"/>
      <x:c r="W34" s="92"/>
      <x:c r="X34" s="92"/>
      <x:c r="Y34" s="92"/>
      <x:c r="Z34" s="92"/>
    </x:row>
    <x:row r="35">
      <x:c r="A35" s="92"/>
      <x:c r="B35" s="92"/>
      <x:c r="C35" s="92"/>
      <x:c r="D35" s="92"/>
      <x:c r="E35" s="92"/>
      <x:c r="F35" s="92"/>
      <x:c r="G35" s="92"/>
      <x:c r="H35" s="92"/>
      <x:c r="I35" s="92"/>
      <x:c r="J35" s="92"/>
      <x:c r="K35" s="92"/>
      <x:c r="L35" s="92"/>
      <x:c r="M35" s="92"/>
      <x:c r="N35" s="92"/>
      <x:c r="O35" s="92"/>
      <x:c r="P35" s="92"/>
      <x:c r="Q35" s="92"/>
      <x:c r="R35" s="92"/>
      <x:c r="S35" s="92"/>
      <x:c r="T35" s="92"/>
      <x:c r="U35" s="92"/>
      <x:c r="V35" s="92"/>
      <x:c r="W35" s="92"/>
      <x:c r="X35" s="92"/>
      <x:c r="Y35" s="92"/>
      <x:c r="Z35" s="92"/>
    </x:row>
    <x:row r="36">
      <x:c r="A36" s="92"/>
      <x:c r="B36" s="92"/>
      <x:c r="C36" s="92"/>
      <x:c r="D36" s="92"/>
      <x:c r="E36" s="92"/>
      <x:c r="F36" s="92"/>
      <x:c r="G36" s="92"/>
      <x:c r="H36" s="92"/>
      <x:c r="I36" s="92"/>
      <x:c r="J36" s="92"/>
      <x:c r="K36" s="92"/>
      <x:c r="L36" s="92"/>
      <x:c r="M36" s="92"/>
      <x:c r="N36" s="92"/>
      <x:c r="O36" s="92"/>
      <x:c r="P36" s="92"/>
      <x:c r="Q36" s="92"/>
      <x:c r="R36" s="92"/>
      <x:c r="S36" s="92"/>
      <x:c r="T36" s="92"/>
      <x:c r="U36" s="92"/>
      <x:c r="V36" s="92"/>
      <x:c r="W36" s="92"/>
      <x:c r="X36" s="92"/>
      <x:c r="Y36" s="92"/>
      <x:c r="Z36" s="92"/>
    </x:row>
    <x:row r="37">
      <x:c r="A37" s="92"/>
      <x:c r="B37" s="92"/>
      <x:c r="C37" s="92"/>
      <x:c r="D37" s="92"/>
      <x:c r="E37" s="92"/>
      <x:c r="F37" s="92"/>
      <x:c r="G37" s="92"/>
      <x:c r="H37" s="92"/>
      <x:c r="I37" s="92"/>
      <x:c r="J37" s="92"/>
      <x:c r="K37" s="92"/>
      <x:c r="L37" s="92"/>
      <x:c r="M37" s="92"/>
      <x:c r="N37" s="92"/>
      <x:c r="O37" s="92"/>
      <x:c r="P37" s="92"/>
      <x:c r="Q37" s="92"/>
      <x:c r="R37" s="92"/>
      <x:c r="S37" s="92"/>
      <x:c r="T37" s="92"/>
      <x:c r="U37" s="92"/>
      <x:c r="V37" s="92"/>
      <x:c r="W37" s="92"/>
      <x:c r="X37" s="92"/>
      <x:c r="Y37" s="92"/>
      <x:c r="Z37" s="92"/>
    </x:row>
    <x:row r="38">
      <x:c r="A38" s="92"/>
      <x:c r="B38" s="92"/>
      <x:c r="C38" s="92"/>
      <x:c r="D38" s="92"/>
      <x:c r="E38" s="92"/>
      <x:c r="F38" s="92"/>
      <x:c r="G38" s="92"/>
      <x:c r="H38" s="92"/>
      <x:c r="I38" s="92"/>
      <x:c r="J38" s="92"/>
      <x:c r="K38" s="92"/>
      <x:c r="L38" s="92"/>
      <x:c r="M38" s="92"/>
      <x:c r="N38" s="92"/>
      <x:c r="O38" s="92"/>
      <x:c r="P38" s="92"/>
      <x:c r="Q38" s="92"/>
      <x:c r="R38" s="92"/>
      <x:c r="S38" s="92"/>
      <x:c r="T38" s="92"/>
      <x:c r="U38" s="92"/>
      <x:c r="V38" s="92"/>
      <x:c r="W38" s="92"/>
      <x:c r="X38" s="92"/>
      <x:c r="Y38" s="92"/>
      <x:c r="Z38" s="92"/>
    </x:row>
    <x:row r="39">
      <x:c r="A39" s="92"/>
      <x:c r="B39" s="92"/>
      <x:c r="C39" s="92"/>
      <x:c r="D39" s="92"/>
      <x:c r="E39" s="92"/>
      <x:c r="F39" s="92"/>
      <x:c r="G39" s="92"/>
      <x:c r="H39" s="92"/>
      <x:c r="I39" s="92"/>
      <x:c r="J39" s="92"/>
      <x:c r="K39" s="92"/>
      <x:c r="L39" s="92"/>
      <x:c r="M39" s="92"/>
      <x:c r="N39" s="92"/>
      <x:c r="O39" s="92"/>
      <x:c r="P39" s="92"/>
      <x:c r="Q39" s="92"/>
      <x:c r="R39" s="92"/>
      <x:c r="S39" s="92"/>
      <x:c r="T39" s="92"/>
      <x:c r="U39" s="92"/>
      <x:c r="V39" s="92"/>
      <x:c r="W39" s="92"/>
      <x:c r="X39" s="92"/>
      <x:c r="Y39" s="92"/>
      <x:c r="Z39" s="92"/>
    </x:row>
    <x:row r="40">
      <x:c r="A40" s="92"/>
      <x:c r="B40" s="92"/>
      <x:c r="C40" s="92"/>
      <x:c r="D40" s="92"/>
      <x:c r="E40" s="92"/>
      <x:c r="F40" s="92"/>
      <x:c r="G40" s="92"/>
      <x:c r="H40" s="92"/>
      <x:c r="I40" s="92"/>
      <x:c r="J40" s="92"/>
      <x:c r="K40" s="92"/>
      <x:c r="L40" s="92"/>
      <x:c r="M40" s="92"/>
      <x:c r="N40" s="92"/>
      <x:c r="O40" s="92"/>
      <x:c r="P40" s="92"/>
      <x:c r="Q40" s="92"/>
      <x:c r="R40" s="92"/>
      <x:c r="S40" s="92"/>
      <x:c r="T40" s="92"/>
      <x:c r="U40" s="92"/>
      <x:c r="V40" s="92"/>
      <x:c r="W40" s="92"/>
      <x:c r="X40" s="92"/>
      <x:c r="Y40" s="92"/>
      <x:c r="Z40" s="92"/>
    </x:row>
    <x:row r="41">
      <x:c r="A41" s="92"/>
      <x:c r="B41" s="92"/>
      <x:c r="C41" s="92"/>
      <x:c r="D41" s="92"/>
      <x:c r="E41" s="92"/>
      <x:c r="F41" s="92"/>
      <x:c r="G41" s="92"/>
      <x:c r="H41" s="92"/>
      <x:c r="I41" s="92"/>
      <x:c r="J41" s="92"/>
      <x:c r="K41" s="92"/>
      <x:c r="L41" s="92"/>
      <x:c r="M41" s="92"/>
      <x:c r="N41" s="92"/>
      <x:c r="O41" s="92"/>
      <x:c r="P41" s="92"/>
      <x:c r="Q41" s="92"/>
      <x:c r="R41" s="92"/>
      <x:c r="S41" s="92"/>
      <x:c r="T41" s="92"/>
      <x:c r="U41" s="92"/>
      <x:c r="V41" s="92"/>
      <x:c r="W41" s="92"/>
      <x:c r="X41" s="92"/>
      <x:c r="Y41" s="92"/>
      <x:c r="Z41" s="92"/>
    </x:row>
    <x:row r="42">
      <x:c r="A42" s="92"/>
      <x:c r="B42" s="92"/>
      <x:c r="C42" s="92"/>
      <x:c r="D42" s="92"/>
      <x:c r="E42" s="92"/>
      <x:c r="F42" s="92"/>
      <x:c r="G42" s="92"/>
      <x:c r="H42" s="92"/>
      <x:c r="I42" s="92"/>
      <x:c r="J42" s="92"/>
      <x:c r="K42" s="92"/>
      <x:c r="L42" s="92"/>
      <x:c r="M42" s="92"/>
      <x:c r="N42" s="92"/>
      <x:c r="O42" s="92"/>
      <x:c r="P42" s="92"/>
      <x:c r="Q42" s="92"/>
      <x:c r="R42" s="92"/>
      <x:c r="S42" s="92"/>
      <x:c r="T42" s="92"/>
      <x:c r="U42" s="92"/>
      <x:c r="V42" s="92"/>
      <x:c r="W42" s="92"/>
      <x:c r="X42" s="92"/>
      <x:c r="Y42" s="92"/>
      <x:c r="Z42" s="92"/>
    </x:row>
    <x:row r="43">
      <x:c r="A43" s="92"/>
      <x:c r="B43" s="92"/>
      <x:c r="C43" s="92"/>
      <x:c r="D43" s="92"/>
      <x:c r="E43" s="92"/>
      <x:c r="F43" s="92"/>
      <x:c r="G43" s="92"/>
      <x:c r="H43" s="92"/>
      <x:c r="I43" s="92"/>
      <x:c r="J43" s="92"/>
      <x:c r="K43" s="92"/>
      <x:c r="L43" s="92"/>
      <x:c r="M43" s="92"/>
      <x:c r="N43" s="92"/>
      <x:c r="O43" s="92"/>
      <x:c r="P43" s="92"/>
      <x:c r="Q43" s="92"/>
      <x:c r="R43" s="92"/>
      <x:c r="S43" s="92"/>
      <x:c r="T43" s="92"/>
      <x:c r="U43" s="92"/>
      <x:c r="V43" s="92"/>
      <x:c r="W43" s="92"/>
      <x:c r="X43" s="92"/>
      <x:c r="Y43" s="92"/>
      <x:c r="Z43" s="92"/>
    </x:row>
    <x:row r="44">
      <x:c r="A44" s="92"/>
      <x:c r="B44" s="92"/>
      <x:c r="C44" s="92"/>
      <x:c r="D44" s="92"/>
      <x:c r="E44" s="92"/>
      <x:c r="F44" s="92"/>
      <x:c r="G44" s="92"/>
      <x:c r="H44" s="92"/>
      <x:c r="I44" s="92"/>
      <x:c r="J44" s="92"/>
      <x:c r="K44" s="92"/>
      <x:c r="L44" s="92"/>
      <x:c r="M44" s="92"/>
      <x:c r="N44" s="92"/>
      <x:c r="O44" s="92"/>
      <x:c r="P44" s="92"/>
      <x:c r="Q44" s="92"/>
      <x:c r="R44" s="92"/>
      <x:c r="S44" s="92"/>
      <x:c r="T44" s="92"/>
      <x:c r="U44" s="92"/>
      <x:c r="V44" s="92"/>
      <x:c r="W44" s="92"/>
      <x:c r="X44" s="92"/>
      <x:c r="Y44" s="92"/>
      <x:c r="Z44" s="92"/>
    </x:row>
    <x:row r="45">
      <x:c r="A45" s="92"/>
      <x:c r="B45" s="92"/>
      <x:c r="C45" s="92"/>
      <x:c r="D45" s="92"/>
      <x:c r="E45" s="92"/>
      <x:c r="F45" s="92"/>
      <x:c r="G45" s="92"/>
      <x:c r="H45" s="92"/>
      <x:c r="I45" s="92"/>
      <x:c r="J45" s="92"/>
      <x:c r="K45" s="92"/>
      <x:c r="L45" s="92"/>
      <x:c r="M45" s="92"/>
      <x:c r="N45" s="92"/>
      <x:c r="O45" s="92"/>
      <x:c r="P45" s="92"/>
      <x:c r="Q45" s="92"/>
      <x:c r="R45" s="92"/>
      <x:c r="S45" s="92"/>
      <x:c r="T45" s="92"/>
      <x:c r="U45" s="92"/>
      <x:c r="V45" s="92"/>
      <x:c r="W45" s="92"/>
      <x:c r="X45" s="92"/>
      <x:c r="Y45" s="92"/>
      <x:c r="Z45" s="92"/>
    </x:row>
    <x:row r="46">
      <x:c r="A46" s="92"/>
      <x:c r="B46" s="92"/>
      <x:c r="C46" s="92"/>
      <x:c r="D46" s="92"/>
      <x:c r="E46" s="92"/>
      <x:c r="F46" s="92"/>
      <x:c r="G46" s="92"/>
      <x:c r="H46" s="92"/>
      <x:c r="I46" s="92"/>
      <x:c r="J46" s="92"/>
      <x:c r="K46" s="92"/>
      <x:c r="L46" s="92"/>
      <x:c r="M46" s="92"/>
      <x:c r="N46" s="92"/>
      <x:c r="O46" s="92"/>
      <x:c r="P46" s="92"/>
      <x:c r="Q46" s="92"/>
      <x:c r="R46" s="92"/>
      <x:c r="S46" s="92"/>
      <x:c r="T46" s="92"/>
      <x:c r="U46" s="92"/>
      <x:c r="V46" s="92"/>
      <x:c r="W46" s="92"/>
      <x:c r="X46" s="92"/>
      <x:c r="Y46" s="92"/>
      <x:c r="Z46" s="92"/>
    </x:row>
    <x:row r="47">
      <x:c r="A47" s="92"/>
      <x:c r="B47" s="92"/>
      <x:c r="C47" s="92"/>
      <x:c r="D47" s="92"/>
      <x:c r="E47" s="92"/>
      <x:c r="F47" s="92"/>
      <x:c r="G47" s="92"/>
      <x:c r="H47" s="92"/>
      <x:c r="I47" s="92"/>
      <x:c r="J47" s="92"/>
      <x:c r="K47" s="92"/>
      <x:c r="L47" s="92"/>
      <x:c r="M47" s="92"/>
      <x:c r="N47" s="92"/>
      <x:c r="O47" s="92"/>
      <x:c r="P47" s="92"/>
      <x:c r="Q47" s="92"/>
      <x:c r="R47" s="92"/>
      <x:c r="S47" s="92"/>
      <x:c r="T47" s="92"/>
      <x:c r="U47" s="92"/>
      <x:c r="V47" s="92"/>
      <x:c r="W47" s="92"/>
      <x:c r="X47" s="92"/>
      <x:c r="Y47" s="92"/>
      <x:c r="Z47" s="92"/>
    </x:row>
    <x:row r="48">
      <x:c r="A48" s="92"/>
      <x:c r="B48" s="92"/>
      <x:c r="C48" s="92"/>
      <x:c r="D48" s="92"/>
      <x:c r="E48" s="92"/>
      <x:c r="F48" s="92"/>
      <x:c r="G48" s="92"/>
      <x:c r="H48" s="92"/>
      <x:c r="I48" s="92"/>
      <x:c r="J48" s="92"/>
      <x:c r="K48" s="92"/>
      <x:c r="L48" s="92"/>
      <x:c r="M48" s="92"/>
      <x:c r="N48" s="92"/>
      <x:c r="O48" s="92"/>
      <x:c r="P48" s="92"/>
      <x:c r="Q48" s="92"/>
      <x:c r="R48" s="92"/>
      <x:c r="S48" s="92"/>
      <x:c r="T48" s="92"/>
      <x:c r="U48" s="92"/>
      <x:c r="V48" s="92"/>
      <x:c r="W48" s="92"/>
      <x:c r="X48" s="92"/>
      <x:c r="Y48" s="92"/>
      <x:c r="Z48" s="92"/>
    </x:row>
    <x:row r="49">
      <x:c r="A49" s="92"/>
      <x:c r="B49" s="92"/>
      <x:c r="C49" s="92"/>
      <x:c r="D49" s="92"/>
      <x:c r="E49" s="92"/>
      <x:c r="F49" s="92"/>
      <x:c r="G49" s="92"/>
      <x:c r="H49" s="92"/>
      <x:c r="I49" s="92"/>
      <x:c r="J49" s="92"/>
      <x:c r="K49" s="92"/>
      <x:c r="L49" s="92"/>
      <x:c r="M49" s="92"/>
      <x:c r="N49" s="92"/>
      <x:c r="O49" s="92"/>
      <x:c r="P49" s="92"/>
      <x:c r="Q49" s="92"/>
      <x:c r="R49" s="92"/>
      <x:c r="S49" s="92"/>
      <x:c r="T49" s="92"/>
      <x:c r="U49" s="92"/>
      <x:c r="V49" s="92"/>
      <x:c r="W49" s="92"/>
      <x:c r="X49" s="92"/>
      <x:c r="Y49" s="92"/>
      <x:c r="Z49" s="92"/>
    </x:row>
    <x:row r="50">
      <x:c r="A50" s="92"/>
      <x:c r="B50" s="92"/>
      <x:c r="C50" s="92"/>
      <x:c r="D50" s="92"/>
      <x:c r="E50" s="92"/>
      <x:c r="F50" s="92"/>
      <x:c r="G50" s="92"/>
      <x:c r="H50" s="92"/>
      <x:c r="I50" s="92"/>
      <x:c r="J50" s="92"/>
      <x:c r="K50" s="92"/>
      <x:c r="L50" s="92"/>
      <x:c r="M50" s="92"/>
      <x:c r="N50" s="92"/>
      <x:c r="O50" s="92"/>
      <x:c r="P50" s="92"/>
      <x:c r="Q50" s="92"/>
      <x:c r="R50" s="92"/>
      <x:c r="S50" s="92"/>
      <x:c r="T50" s="92"/>
      <x:c r="U50" s="92"/>
      <x:c r="V50" s="92"/>
      <x:c r="W50" s="92"/>
      <x:c r="X50" s="92"/>
      <x:c r="Y50" s="92"/>
      <x:c r="Z50" s="92"/>
    </x:row>
    <x:row r="51">
      <x:c r="A51" s="92"/>
      <x:c r="B51" s="92"/>
      <x:c r="C51" s="92"/>
      <x:c r="D51" s="92"/>
      <x:c r="E51" s="92"/>
      <x:c r="F51" s="92"/>
      <x:c r="G51" s="92"/>
      <x:c r="H51" s="92"/>
      <x:c r="I51" s="92"/>
      <x:c r="J51" s="92"/>
      <x:c r="K51" s="92"/>
      <x:c r="L51" s="92"/>
      <x:c r="M51" s="92"/>
      <x:c r="N51" s="92"/>
      <x:c r="O51" s="92"/>
      <x:c r="P51" s="92"/>
      <x:c r="Q51" s="92"/>
      <x:c r="R51" s="92"/>
      <x:c r="S51" s="92"/>
      <x:c r="T51" s="92"/>
      <x:c r="U51" s="92"/>
      <x:c r="V51" s="92"/>
      <x:c r="W51" s="92"/>
      <x:c r="X51" s="92"/>
      <x:c r="Y51" s="92"/>
      <x:c r="Z51" s="92"/>
    </x:row>
    <x:row r="52">
      <x:c r="A52" s="92"/>
      <x:c r="B52" s="92"/>
      <x:c r="C52" s="92"/>
      <x:c r="D52" s="92"/>
      <x:c r="E52" s="92"/>
      <x:c r="F52" s="92"/>
      <x:c r="G52" s="92"/>
      <x:c r="H52" s="92"/>
      <x:c r="I52" s="92"/>
      <x:c r="J52" s="92"/>
      <x:c r="K52" s="92"/>
      <x:c r="L52" s="92"/>
      <x:c r="M52" s="92"/>
      <x:c r="N52" s="92"/>
      <x:c r="O52" s="92"/>
      <x:c r="P52" s="92"/>
      <x:c r="Q52" s="92"/>
      <x:c r="R52" s="92"/>
      <x:c r="S52" s="92"/>
      <x:c r="T52" s="92"/>
      <x:c r="U52" s="92"/>
      <x:c r="V52" s="92"/>
      <x:c r="W52" s="92"/>
      <x:c r="X52" s="92"/>
      <x:c r="Y52" s="92"/>
      <x:c r="Z52" s="92"/>
    </x:row>
    <x:row r="53">
      <x:c r="A53" s="92"/>
      <x:c r="B53" s="92"/>
      <x:c r="C53" s="92"/>
      <x:c r="D53" s="92"/>
      <x:c r="E53" s="92"/>
      <x:c r="F53" s="92"/>
      <x:c r="G53" s="92"/>
      <x:c r="H53" s="92"/>
      <x:c r="I53" s="92"/>
      <x:c r="J53" s="92"/>
      <x:c r="K53" s="92"/>
      <x:c r="L53" s="92"/>
      <x:c r="M53" s="92"/>
      <x:c r="N53" s="92"/>
      <x:c r="O53" s="92"/>
      <x:c r="P53" s="92"/>
      <x:c r="Q53" s="92"/>
      <x:c r="R53" s="92"/>
      <x:c r="S53" s="92"/>
      <x:c r="T53" s="92"/>
      <x:c r="U53" s="92"/>
      <x:c r="V53" s="92"/>
      <x:c r="W53" s="92"/>
      <x:c r="X53" s="92"/>
      <x:c r="Y53" s="92"/>
      <x:c r="Z53" s="92"/>
    </x:row>
    <x:row r="54">
      <x:c r="A54" s="92"/>
      <x:c r="B54" s="92"/>
      <x:c r="C54" s="92"/>
      <x:c r="D54" s="92"/>
      <x:c r="E54" s="92"/>
      <x:c r="F54" s="92"/>
      <x:c r="G54" s="92"/>
      <x:c r="H54" s="92"/>
      <x:c r="I54" s="92"/>
      <x:c r="J54" s="92"/>
      <x:c r="K54" s="92"/>
      <x:c r="L54" s="92"/>
      <x:c r="M54" s="92"/>
      <x:c r="N54" s="92"/>
      <x:c r="O54" s="92"/>
      <x:c r="P54" s="92"/>
      <x:c r="Q54" s="92"/>
      <x:c r="R54" s="92"/>
      <x:c r="S54" s="92"/>
      <x:c r="T54" s="92"/>
      <x:c r="U54" s="92"/>
      <x:c r="V54" s="92"/>
      <x:c r="W54" s="92"/>
      <x:c r="X54" s="92"/>
      <x:c r="Y54" s="92"/>
      <x:c r="Z54" s="92"/>
    </x:row>
    <x:row r="55">
      <x:c r="A55" s="92"/>
      <x:c r="B55" s="92"/>
      <x:c r="C55" s="92"/>
      <x:c r="D55" s="92"/>
      <x:c r="E55" s="92"/>
      <x:c r="F55" s="92"/>
      <x:c r="G55" s="92"/>
      <x:c r="H55" s="92"/>
      <x:c r="I55" s="92"/>
      <x:c r="J55" s="92"/>
      <x:c r="K55" s="92"/>
      <x:c r="L55" s="92"/>
      <x:c r="M55" s="92"/>
      <x:c r="N55" s="92"/>
      <x:c r="O55" s="92"/>
      <x:c r="P55" s="92"/>
      <x:c r="Q55" s="92"/>
      <x:c r="R55" s="92"/>
      <x:c r="S55" s="92"/>
      <x:c r="T55" s="92"/>
      <x:c r="U55" s="92"/>
      <x:c r="V55" s="92"/>
      <x:c r="W55" s="92"/>
      <x:c r="X55" s="92"/>
      <x:c r="Y55" s="92"/>
      <x:c r="Z55" s="92"/>
    </x:row>
    <x:row r="56">
      <x:c r="A56" s="92"/>
      <x:c r="B56" s="92"/>
      <x:c r="C56" s="92"/>
      <x:c r="D56" s="92"/>
      <x:c r="E56" s="92"/>
      <x:c r="F56" s="92"/>
      <x:c r="G56" s="92"/>
      <x:c r="H56" s="92"/>
      <x:c r="I56" s="92"/>
      <x:c r="J56" s="92"/>
      <x:c r="K56" s="92"/>
      <x:c r="L56" s="92"/>
      <x:c r="M56" s="92"/>
      <x:c r="N56" s="92"/>
      <x:c r="O56" s="92"/>
      <x:c r="P56" s="92"/>
      <x:c r="Q56" s="92"/>
      <x:c r="R56" s="92"/>
      <x:c r="S56" s="92"/>
      <x:c r="T56" s="92"/>
      <x:c r="U56" s="92"/>
      <x:c r="V56" s="92"/>
      <x:c r="W56" s="92"/>
      <x:c r="X56" s="92"/>
      <x:c r="Y56" s="92"/>
      <x:c r="Z56" s="92"/>
    </x:row>
    <x:row r="57">
      <x:c r="A57" s="92"/>
      <x:c r="B57" s="92"/>
      <x:c r="C57" s="92"/>
      <x:c r="D57" s="92"/>
      <x:c r="E57" s="92"/>
      <x:c r="F57" s="92"/>
      <x:c r="G57" s="92"/>
      <x:c r="H57" s="92"/>
      <x:c r="I57" s="92"/>
      <x:c r="J57" s="92"/>
      <x:c r="K57" s="92"/>
      <x:c r="L57" s="92"/>
      <x:c r="M57" s="92"/>
      <x:c r="N57" s="92"/>
      <x:c r="O57" s="92"/>
      <x:c r="P57" s="92"/>
      <x:c r="Q57" s="92"/>
      <x:c r="R57" s="92"/>
      <x:c r="S57" s="92"/>
      <x:c r="T57" s="92"/>
      <x:c r="U57" s="92"/>
      <x:c r="V57" s="92"/>
      <x:c r="W57" s="92"/>
      <x:c r="X57" s="92"/>
      <x:c r="Y57" s="92"/>
      <x:c r="Z57" s="92"/>
    </x:row>
    <x:row r="58">
      <x:c r="A58" s="92"/>
      <x:c r="B58" s="92"/>
      <x:c r="C58" s="92"/>
      <x:c r="D58" s="92"/>
      <x:c r="E58" s="92"/>
      <x:c r="F58" s="92"/>
      <x:c r="G58" s="92"/>
      <x:c r="H58" s="92"/>
      <x:c r="I58" s="92"/>
      <x:c r="J58" s="92"/>
      <x:c r="K58" s="92"/>
      <x:c r="L58" s="92"/>
      <x:c r="M58" s="92"/>
      <x:c r="N58" s="92"/>
      <x:c r="O58" s="92"/>
      <x:c r="P58" s="92"/>
      <x:c r="Q58" s="92"/>
      <x:c r="R58" s="92"/>
      <x:c r="S58" s="92"/>
      <x:c r="T58" s="92"/>
      <x:c r="U58" s="92"/>
      <x:c r="V58" s="92"/>
      <x:c r="W58" s="92"/>
      <x:c r="X58" s="92"/>
      <x:c r="Y58" s="92"/>
      <x:c r="Z58" s="92"/>
    </x:row>
    <x:row r="59">
      <x:c r="A59" s="92"/>
      <x:c r="B59" s="92"/>
      <x:c r="C59" s="92"/>
      <x:c r="D59" s="92"/>
      <x:c r="E59" s="92"/>
      <x:c r="F59" s="92"/>
      <x:c r="G59" s="92"/>
      <x:c r="H59" s="92"/>
      <x:c r="I59" s="92"/>
      <x:c r="J59" s="92"/>
      <x:c r="K59" s="92"/>
      <x:c r="L59" s="92"/>
      <x:c r="M59" s="92"/>
      <x:c r="N59" s="92"/>
      <x:c r="O59" s="92"/>
      <x:c r="P59" s="92"/>
      <x:c r="Q59" s="92"/>
      <x:c r="R59" s="92"/>
      <x:c r="S59" s="92"/>
      <x:c r="T59" s="92"/>
      <x:c r="U59" s="92"/>
      <x:c r="V59" s="92"/>
      <x:c r="W59" s="92"/>
      <x:c r="X59" s="92"/>
      <x:c r="Y59" s="92"/>
      <x:c r="Z59" s="92"/>
    </x:row>
    <x:row r="60">
      <x:c r="A60" s="92"/>
      <x:c r="B60" s="92"/>
      <x:c r="C60" s="92"/>
      <x:c r="D60" s="92"/>
      <x:c r="E60" s="92"/>
      <x:c r="F60" s="92"/>
      <x:c r="G60" s="92"/>
      <x:c r="H60" s="92"/>
      <x:c r="I60" s="92"/>
      <x:c r="J60" s="92"/>
      <x:c r="K60" s="92"/>
      <x:c r="L60" s="92"/>
      <x:c r="M60" s="92"/>
      <x:c r="N60" s="92"/>
      <x:c r="O60" s="92"/>
      <x:c r="P60" s="92"/>
      <x:c r="Q60" s="92"/>
      <x:c r="R60" s="92"/>
      <x:c r="S60" s="92"/>
      <x:c r="T60" s="92"/>
      <x:c r="U60" s="92"/>
      <x:c r="V60" s="92"/>
      <x:c r="W60" s="92"/>
      <x:c r="X60" s="92"/>
      <x:c r="Y60" s="92"/>
      <x:c r="Z60" s="92"/>
    </x:row>
    <x:row r="61">
      <x:c r="A61" s="92"/>
      <x:c r="B61" s="92"/>
      <x:c r="C61" s="92"/>
      <x:c r="D61" s="92"/>
      <x:c r="E61" s="92"/>
      <x:c r="F61" s="92"/>
      <x:c r="G61" s="92"/>
      <x:c r="H61" s="92"/>
      <x:c r="I61" s="92"/>
      <x:c r="J61" s="92"/>
      <x:c r="K61" s="92"/>
      <x:c r="L61" s="92"/>
      <x:c r="M61" s="92"/>
      <x:c r="N61" s="92"/>
      <x:c r="O61" s="92"/>
      <x:c r="P61" s="92"/>
      <x:c r="Q61" s="92"/>
      <x:c r="R61" s="92"/>
      <x:c r="S61" s="92"/>
      <x:c r="T61" s="92"/>
      <x:c r="U61" s="92"/>
      <x:c r="V61" s="92"/>
      <x:c r="W61" s="92"/>
      <x:c r="X61" s="92"/>
      <x:c r="Y61" s="92"/>
      <x:c r="Z61" s="92"/>
    </x:row>
    <x:row r="62">
      <x:c r="A62" s="92"/>
      <x:c r="B62" s="92"/>
      <x:c r="C62" s="92"/>
      <x:c r="D62" s="92"/>
      <x:c r="E62" s="92"/>
      <x:c r="F62" s="92"/>
      <x:c r="G62" s="92"/>
      <x:c r="H62" s="92"/>
      <x:c r="I62" s="92"/>
      <x:c r="J62" s="92"/>
      <x:c r="K62" s="92"/>
      <x:c r="L62" s="92"/>
      <x:c r="M62" s="92"/>
      <x:c r="N62" s="92"/>
      <x:c r="O62" s="92"/>
      <x:c r="P62" s="92"/>
      <x:c r="Q62" s="92"/>
      <x:c r="R62" s="92"/>
      <x:c r="S62" s="92"/>
      <x:c r="T62" s="92"/>
      <x:c r="U62" s="92"/>
      <x:c r="V62" s="92"/>
      <x:c r="W62" s="92"/>
      <x:c r="X62" s="92"/>
      <x:c r="Y62" s="92"/>
      <x:c r="Z62" s="92"/>
    </x:row>
    <x:row r="63">
      <x:c r="A63" s="92"/>
      <x:c r="B63" s="92"/>
      <x:c r="C63" s="92"/>
      <x:c r="D63" s="92"/>
      <x:c r="E63" s="92"/>
      <x:c r="F63" s="92"/>
      <x:c r="G63" s="92"/>
      <x:c r="H63" s="92"/>
      <x:c r="I63" s="92"/>
      <x:c r="J63" s="92"/>
      <x:c r="K63" s="92"/>
      <x:c r="L63" s="92"/>
      <x:c r="M63" s="92"/>
      <x:c r="N63" s="92"/>
      <x:c r="O63" s="92"/>
      <x:c r="P63" s="92"/>
      <x:c r="Q63" s="92"/>
      <x:c r="R63" s="92"/>
      <x:c r="S63" s="92"/>
      <x:c r="T63" s="92"/>
      <x:c r="U63" s="92"/>
      <x:c r="V63" s="92"/>
      <x:c r="W63" s="92"/>
      <x:c r="X63" s="92"/>
      <x:c r="Y63" s="92"/>
      <x:c r="Z63" s="92"/>
    </x:row>
    <x:row r="64">
      <x:c r="A64" s="92"/>
      <x:c r="B64" s="92"/>
      <x:c r="C64" s="92"/>
      <x:c r="D64" s="92"/>
      <x:c r="E64" s="92"/>
      <x:c r="F64" s="92"/>
      <x:c r="G64" s="92"/>
      <x:c r="H64" s="92"/>
      <x:c r="I64" s="92"/>
      <x:c r="J64" s="92"/>
      <x:c r="K64" s="92"/>
      <x:c r="L64" s="92"/>
      <x:c r="M64" s="92"/>
      <x:c r="N64" s="92"/>
      <x:c r="O64" s="92"/>
      <x:c r="P64" s="92"/>
      <x:c r="Q64" s="92"/>
      <x:c r="R64" s="92"/>
      <x:c r="S64" s="92"/>
      <x:c r="T64" s="92"/>
      <x:c r="U64" s="92"/>
      <x:c r="V64" s="92"/>
      <x:c r="W64" s="92"/>
      <x:c r="X64" s="92"/>
      <x:c r="Y64" s="92"/>
      <x:c r="Z64" s="92"/>
    </x:row>
    <x:row r="65">
      <x:c r="A65" s="92"/>
      <x:c r="B65" s="92"/>
      <x:c r="C65" s="92"/>
      <x:c r="D65" s="92"/>
      <x:c r="E65" s="92"/>
      <x:c r="F65" s="92"/>
      <x:c r="G65" s="92"/>
      <x:c r="H65" s="92"/>
      <x:c r="I65" s="92"/>
      <x:c r="J65" s="92"/>
      <x:c r="K65" s="92"/>
      <x:c r="L65" s="92"/>
      <x:c r="M65" s="92"/>
      <x:c r="N65" s="92"/>
      <x:c r="O65" s="92"/>
      <x:c r="P65" s="92"/>
      <x:c r="Q65" s="92"/>
      <x:c r="R65" s="92"/>
      <x:c r="S65" s="92"/>
      <x:c r="T65" s="92"/>
      <x:c r="U65" s="92"/>
      <x:c r="V65" s="92"/>
      <x:c r="W65" s="92"/>
      <x:c r="X65" s="92"/>
      <x:c r="Y65" s="92"/>
      <x:c r="Z65" s="92"/>
    </x:row>
    <x:row r="66">
      <x:c r="A66" s="92"/>
      <x:c r="B66" s="92"/>
      <x:c r="C66" s="92"/>
      <x:c r="D66" s="92"/>
      <x:c r="E66" s="92"/>
      <x:c r="F66" s="92"/>
      <x:c r="G66" s="92"/>
      <x:c r="H66" s="92"/>
      <x:c r="I66" s="92"/>
      <x:c r="J66" s="92"/>
      <x:c r="K66" s="92"/>
      <x:c r="L66" s="92"/>
      <x:c r="M66" s="92"/>
      <x:c r="N66" s="92"/>
      <x:c r="O66" s="92"/>
      <x:c r="P66" s="92"/>
      <x:c r="Q66" s="92"/>
      <x:c r="R66" s="92"/>
      <x:c r="S66" s="92"/>
      <x:c r="T66" s="92"/>
      <x:c r="U66" s="92"/>
      <x:c r="V66" s="92"/>
      <x:c r="W66" s="92"/>
      <x:c r="X66" s="92"/>
      <x:c r="Y66" s="92"/>
      <x:c r="Z66" s="92"/>
    </x:row>
    <x:row r="67">
      <x:c r="A67" s="92"/>
      <x:c r="B67" s="92"/>
      <x:c r="C67" s="92"/>
      <x:c r="D67" s="92"/>
      <x:c r="E67" s="92"/>
      <x:c r="F67" s="92"/>
      <x:c r="G67" s="92"/>
      <x:c r="H67" s="92"/>
      <x:c r="I67" s="92"/>
      <x:c r="J67" s="92"/>
      <x:c r="K67" s="92"/>
      <x:c r="L67" s="92"/>
      <x:c r="M67" s="92"/>
      <x:c r="N67" s="92"/>
      <x:c r="O67" s="92"/>
      <x:c r="P67" s="92"/>
      <x:c r="Q67" s="92"/>
      <x:c r="R67" s="92"/>
      <x:c r="S67" s="92"/>
      <x:c r="T67" s="92"/>
      <x:c r="U67" s="92"/>
      <x:c r="V67" s="92"/>
      <x:c r="W67" s="92"/>
      <x:c r="X67" s="92"/>
      <x:c r="Y67" s="92"/>
      <x:c r="Z67" s="92"/>
    </x:row>
    <x:row r="68">
      <x:c r="A68" s="92"/>
      <x:c r="B68" s="92"/>
      <x:c r="C68" s="92"/>
      <x:c r="D68" s="92"/>
      <x:c r="E68" s="92"/>
      <x:c r="F68" s="92"/>
      <x:c r="G68" s="92"/>
      <x:c r="H68" s="92"/>
      <x:c r="I68" s="92"/>
      <x:c r="J68" s="92"/>
      <x:c r="K68" s="92"/>
      <x:c r="L68" s="92"/>
      <x:c r="M68" s="92"/>
      <x:c r="N68" s="92"/>
      <x:c r="O68" s="92"/>
      <x:c r="P68" s="92"/>
      <x:c r="Q68" s="92"/>
      <x:c r="R68" s="92"/>
      <x:c r="S68" s="92"/>
      <x:c r="T68" s="92"/>
      <x:c r="U68" s="92"/>
      <x:c r="V68" s="92"/>
      <x:c r="W68" s="92"/>
      <x:c r="X68" s="92"/>
      <x:c r="Y68" s="92"/>
      <x:c r="Z68" s="92"/>
    </x:row>
    <x:row r="69">
      <x:c r="A69" s="92"/>
      <x:c r="B69" s="92"/>
      <x:c r="C69" s="92"/>
      <x:c r="D69" s="92"/>
      <x:c r="E69" s="92"/>
      <x:c r="F69" s="92"/>
      <x:c r="G69" s="92"/>
      <x:c r="H69" s="92"/>
      <x:c r="I69" s="92"/>
      <x:c r="J69" s="92"/>
      <x:c r="K69" s="92"/>
      <x:c r="L69" s="92"/>
      <x:c r="M69" s="92"/>
      <x:c r="N69" s="92"/>
      <x:c r="O69" s="92"/>
      <x:c r="P69" s="92"/>
      <x:c r="Q69" s="92"/>
      <x:c r="R69" s="92"/>
      <x:c r="S69" s="92"/>
      <x:c r="T69" s="92"/>
      <x:c r="U69" s="92"/>
      <x:c r="V69" s="92"/>
      <x:c r="W69" s="92"/>
      <x:c r="X69" s="92"/>
      <x:c r="Y69" s="92"/>
      <x:c r="Z69" s="92"/>
    </x:row>
    <x:row r="70">
      <x:c r="A70" s="92"/>
      <x:c r="B70" s="92"/>
      <x:c r="C70" s="92"/>
      <x:c r="D70" s="92"/>
      <x:c r="E70" s="92"/>
      <x:c r="F70" s="92"/>
      <x:c r="G70" s="92"/>
      <x:c r="H70" s="92"/>
      <x:c r="I70" s="92"/>
      <x:c r="J70" s="92"/>
      <x:c r="K70" s="92"/>
      <x:c r="L70" s="92"/>
      <x:c r="M70" s="92"/>
      <x:c r="N70" s="92"/>
      <x:c r="O70" s="92"/>
      <x:c r="P70" s="92"/>
      <x:c r="Q70" s="92"/>
      <x:c r="R70" s="92"/>
      <x:c r="S70" s="92"/>
      <x:c r="T70" s="92"/>
      <x:c r="U70" s="92"/>
      <x:c r="V70" s="92"/>
      <x:c r="W70" s="92"/>
      <x:c r="X70" s="92"/>
      <x:c r="Y70" s="92"/>
      <x:c r="Z70" s="92"/>
    </x:row>
    <x:row r="71">
      <x:c r="A71" s="92"/>
      <x:c r="B71" s="92"/>
      <x:c r="C71" s="92"/>
      <x:c r="D71" s="92"/>
      <x:c r="E71" s="92"/>
      <x:c r="F71" s="92"/>
      <x:c r="G71" s="92"/>
      <x:c r="H71" s="92"/>
      <x:c r="I71" s="92"/>
      <x:c r="J71" s="92"/>
      <x:c r="K71" s="92"/>
      <x:c r="L71" s="92"/>
      <x:c r="M71" s="92"/>
      <x:c r="N71" s="92"/>
      <x:c r="O71" s="92"/>
      <x:c r="P71" s="92"/>
      <x:c r="Q71" s="92"/>
      <x:c r="R71" s="92"/>
      <x:c r="S71" s="92"/>
      <x:c r="T71" s="92"/>
      <x:c r="U71" s="92"/>
      <x:c r="V71" s="92"/>
      <x:c r="W71" s="92"/>
      <x:c r="X71" s="92"/>
      <x:c r="Y71" s="92"/>
      <x:c r="Z71" s="92"/>
    </x:row>
    <x:row r="72">
      <x:c r="A72" s="92"/>
      <x:c r="B72" s="92"/>
      <x:c r="C72" s="92"/>
      <x:c r="D72" s="92"/>
      <x:c r="E72" s="92"/>
      <x:c r="F72" s="92"/>
      <x:c r="G72" s="92"/>
      <x:c r="H72" s="92"/>
      <x:c r="I72" s="92"/>
      <x:c r="J72" s="92"/>
      <x:c r="K72" s="92"/>
      <x:c r="L72" s="92"/>
      <x:c r="M72" s="92"/>
      <x:c r="N72" s="92"/>
      <x:c r="O72" s="92"/>
      <x:c r="P72" s="92"/>
      <x:c r="Q72" s="92"/>
      <x:c r="R72" s="92"/>
      <x:c r="S72" s="92"/>
      <x:c r="T72" s="92"/>
      <x:c r="U72" s="92"/>
      <x:c r="V72" s="92"/>
      <x:c r="W72" s="92"/>
      <x:c r="X72" s="92"/>
      <x:c r="Y72" s="92"/>
      <x:c r="Z72" s="92"/>
    </x:row>
    <x:row r="73">
      <x:c r="A73" s="92"/>
      <x:c r="B73" s="92"/>
      <x:c r="C73" s="92"/>
      <x:c r="D73" s="92"/>
      <x:c r="E73" s="92"/>
      <x:c r="F73" s="92"/>
      <x:c r="G73" s="92"/>
      <x:c r="H73" s="92"/>
      <x:c r="I73" s="92"/>
      <x:c r="J73" s="92"/>
      <x:c r="K73" s="92"/>
      <x:c r="L73" s="92"/>
      <x:c r="M73" s="92"/>
      <x:c r="N73" s="92"/>
      <x:c r="O73" s="92"/>
      <x:c r="P73" s="92"/>
      <x:c r="Q73" s="92"/>
      <x:c r="R73" s="92"/>
      <x:c r="S73" s="92"/>
      <x:c r="T73" s="92"/>
      <x:c r="U73" s="92"/>
      <x:c r="V73" s="92"/>
      <x:c r="W73" s="92"/>
      <x:c r="X73" s="92"/>
      <x:c r="Y73" s="92"/>
      <x:c r="Z73" s="92"/>
    </x:row>
    <x:row r="74">
      <x:c r="A74" s="92"/>
      <x:c r="B74" s="92"/>
      <x:c r="C74" s="92"/>
      <x:c r="D74" s="92"/>
      <x:c r="E74" s="92"/>
      <x:c r="F74" s="92"/>
      <x:c r="G74" s="92"/>
      <x:c r="H74" s="92"/>
      <x:c r="I74" s="92"/>
      <x:c r="J74" s="92"/>
      <x:c r="K74" s="92"/>
      <x:c r="L74" s="92"/>
      <x:c r="M74" s="92"/>
      <x:c r="N74" s="92"/>
      <x:c r="O74" s="92"/>
      <x:c r="P74" s="92"/>
      <x:c r="Q74" s="92"/>
      <x:c r="R74" s="92"/>
      <x:c r="S74" s="92"/>
      <x:c r="T74" s="92"/>
      <x:c r="U74" s="92"/>
      <x:c r="V74" s="92"/>
      <x:c r="W74" s="92"/>
      <x:c r="X74" s="92"/>
      <x:c r="Y74" s="92"/>
      <x:c r="Z74" s="92"/>
    </x:row>
    <x:row r="75">
      <x:c r="A75" s="92"/>
      <x:c r="B75" s="92"/>
      <x:c r="C75" s="92"/>
      <x:c r="D75" s="92"/>
      <x:c r="E75" s="92"/>
      <x:c r="F75" s="92"/>
      <x:c r="G75" s="92"/>
      <x:c r="H75" s="92"/>
      <x:c r="I75" s="92"/>
      <x:c r="J75" s="92"/>
      <x:c r="K75" s="92"/>
      <x:c r="L75" s="92"/>
      <x:c r="M75" s="92"/>
      <x:c r="N75" s="92"/>
      <x:c r="O75" s="92"/>
      <x:c r="P75" s="92"/>
      <x:c r="Q75" s="92"/>
      <x:c r="R75" s="92"/>
      <x:c r="S75" s="92"/>
      <x:c r="T75" s="92"/>
      <x:c r="U75" s="92"/>
      <x:c r="V75" s="92"/>
      <x:c r="W75" s="92"/>
      <x:c r="X75" s="92"/>
      <x:c r="Y75" s="92"/>
      <x:c r="Z75" s="92"/>
    </x:row>
    <x:row r="76">
      <x:c r="A76" s="92"/>
      <x:c r="B76" s="92"/>
      <x:c r="C76" s="92"/>
      <x:c r="D76" s="92"/>
      <x:c r="E76" s="92"/>
      <x:c r="F76" s="92"/>
      <x:c r="G76" s="92"/>
      <x:c r="H76" s="92"/>
      <x:c r="I76" s="92"/>
      <x:c r="J76" s="92"/>
      <x:c r="K76" s="92"/>
      <x:c r="L76" s="92"/>
      <x:c r="M76" s="92"/>
      <x:c r="N76" s="92"/>
      <x:c r="O76" s="92"/>
      <x:c r="P76" s="92"/>
      <x:c r="Q76" s="92"/>
      <x:c r="R76" s="92"/>
      <x:c r="S76" s="92"/>
      <x:c r="T76" s="92"/>
      <x:c r="U76" s="92"/>
      <x:c r="V76" s="92"/>
      <x:c r="W76" s="92"/>
      <x:c r="X76" s="92"/>
      <x:c r="Y76" s="92"/>
      <x:c r="Z76" s="92"/>
    </x:row>
    <x:row r="77">
      <x:c r="A77" s="92"/>
      <x:c r="B77" s="92"/>
      <x:c r="C77" s="92"/>
      <x:c r="D77" s="92"/>
      <x:c r="E77" s="92"/>
      <x:c r="F77" s="92"/>
      <x:c r="G77" s="92"/>
      <x:c r="H77" s="92"/>
      <x:c r="I77" s="92"/>
      <x:c r="J77" s="92"/>
      <x:c r="K77" s="92"/>
      <x:c r="L77" s="92"/>
      <x:c r="M77" s="92"/>
      <x:c r="N77" s="92"/>
      <x:c r="O77" s="92"/>
      <x:c r="P77" s="92"/>
      <x:c r="Q77" s="92"/>
      <x:c r="R77" s="92"/>
      <x:c r="S77" s="92"/>
      <x:c r="T77" s="92"/>
      <x:c r="U77" s="92"/>
      <x:c r="V77" s="92"/>
      <x:c r="W77" s="92"/>
      <x:c r="X77" s="92"/>
      <x:c r="Y77" s="92"/>
      <x:c r="Z77" s="92"/>
    </x:row>
    <x:row r="78">
      <x:c r="A78" s="92"/>
      <x:c r="B78" s="92"/>
      <x:c r="C78" s="92"/>
      <x:c r="D78" s="92"/>
      <x:c r="E78" s="92"/>
      <x:c r="F78" s="92"/>
      <x:c r="G78" s="92"/>
      <x:c r="H78" s="92"/>
      <x:c r="I78" s="92"/>
      <x:c r="J78" s="92"/>
      <x:c r="K78" s="92"/>
      <x:c r="L78" s="92"/>
      <x:c r="M78" s="92"/>
      <x:c r="N78" s="92"/>
      <x:c r="O78" s="92"/>
      <x:c r="P78" s="92"/>
      <x:c r="Q78" s="92"/>
      <x:c r="R78" s="92"/>
      <x:c r="S78" s="92"/>
      <x:c r="T78" s="92"/>
      <x:c r="U78" s="92"/>
      <x:c r="V78" s="92"/>
      <x:c r="W78" s="92"/>
      <x:c r="X78" s="92"/>
      <x:c r="Y78" s="92"/>
      <x:c r="Z78" s="92"/>
    </x:row>
    <x:row r="79">
      <x:c r="A79" s="92"/>
      <x:c r="B79" s="92"/>
      <x:c r="C79" s="92"/>
      <x:c r="D79" s="92"/>
      <x:c r="E79" s="92"/>
      <x:c r="F79" s="92"/>
      <x:c r="G79" s="92"/>
      <x:c r="H79" s="92"/>
      <x:c r="I79" s="92"/>
      <x:c r="J79" s="92"/>
      <x:c r="K79" s="92"/>
      <x:c r="L79" s="92"/>
      <x:c r="M79" s="92"/>
      <x:c r="N79" s="92"/>
      <x:c r="O79" s="92"/>
      <x:c r="P79" s="92"/>
      <x:c r="Q79" s="92"/>
      <x:c r="R79" s="92"/>
      <x:c r="S79" s="92"/>
      <x:c r="T79" s="92"/>
      <x:c r="U79" s="92"/>
      <x:c r="V79" s="92"/>
      <x:c r="W79" s="92"/>
      <x:c r="X79" s="92"/>
      <x:c r="Y79" s="92"/>
      <x:c r="Z79" s="92"/>
    </x:row>
    <x:row r="80">
      <x:c r="A80" s="92"/>
      <x:c r="B80" s="92"/>
      <x:c r="C80" s="92"/>
      <x:c r="D80" s="92"/>
      <x:c r="E80" s="92"/>
      <x:c r="F80" s="92"/>
      <x:c r="G80" s="92"/>
      <x:c r="H80" s="92"/>
      <x:c r="I80" s="92"/>
      <x:c r="J80" s="92"/>
      <x:c r="K80" s="92"/>
      <x:c r="L80" s="92"/>
      <x:c r="M80" s="92"/>
      <x:c r="N80" s="92"/>
      <x:c r="O80" s="92"/>
      <x:c r="P80" s="92"/>
      <x:c r="Q80" s="92"/>
      <x:c r="R80" s="92"/>
      <x:c r="S80" s="92"/>
      <x:c r="T80" s="92"/>
      <x:c r="U80" s="92"/>
      <x:c r="V80" s="92"/>
      <x:c r="W80" s="92"/>
      <x:c r="X80" s="92"/>
      <x:c r="Y80" s="92"/>
      <x:c r="Z80" s="92"/>
    </x:row>
    <x:row r="81">
      <x:c r="A81" s="92"/>
      <x:c r="B81" s="92"/>
      <x:c r="C81" s="92"/>
      <x:c r="D81" s="92"/>
      <x:c r="E81" s="92"/>
      <x:c r="F81" s="92"/>
      <x:c r="G81" s="92"/>
      <x:c r="H81" s="92"/>
      <x:c r="I81" s="92"/>
      <x:c r="J81" s="92"/>
      <x:c r="K81" s="92"/>
      <x:c r="L81" s="92"/>
      <x:c r="M81" s="92"/>
      <x:c r="N81" s="92"/>
      <x:c r="O81" s="92"/>
      <x:c r="P81" s="92"/>
      <x:c r="Q81" s="92"/>
      <x:c r="R81" s="92"/>
      <x:c r="S81" s="92"/>
      <x:c r="T81" s="92"/>
      <x:c r="U81" s="92"/>
      <x:c r="V81" s="92"/>
      <x:c r="W81" s="92"/>
      <x:c r="X81" s="92"/>
      <x:c r="Y81" s="92"/>
      <x:c r="Z81" s="92"/>
    </x:row>
    <x:row r="82">
      <x:c r="A82" s="92"/>
      <x:c r="B82" s="92"/>
      <x:c r="C82" s="92"/>
      <x:c r="D82" s="92"/>
      <x:c r="E82" s="92"/>
      <x:c r="F82" s="92"/>
      <x:c r="G82" s="92"/>
      <x:c r="H82" s="92"/>
      <x:c r="I82" s="92"/>
      <x:c r="J82" s="92"/>
      <x:c r="K82" s="92"/>
      <x:c r="L82" s="92"/>
      <x:c r="M82" s="92"/>
      <x:c r="N82" s="92"/>
      <x:c r="O82" s="92"/>
      <x:c r="P82" s="92"/>
      <x:c r="Q82" s="92"/>
      <x:c r="R82" s="92"/>
      <x:c r="S82" s="92"/>
      <x:c r="T82" s="92"/>
      <x:c r="U82" s="92"/>
      <x:c r="V82" s="92"/>
      <x:c r="W82" s="92"/>
      <x:c r="X82" s="92"/>
      <x:c r="Y82" s="92"/>
      <x:c r="Z82" s="92"/>
    </x:row>
    <x:row r="83">
      <x:c r="A83" s="92"/>
      <x:c r="B83" s="92"/>
      <x:c r="C83" s="92"/>
      <x:c r="D83" s="92"/>
      <x:c r="E83" s="92"/>
      <x:c r="F83" s="92"/>
      <x:c r="G83" s="92"/>
      <x:c r="H83" s="92"/>
      <x:c r="I83" s="92"/>
      <x:c r="J83" s="92"/>
      <x:c r="K83" s="92"/>
      <x:c r="L83" s="92"/>
      <x:c r="M83" s="92"/>
      <x:c r="N83" s="92"/>
      <x:c r="O83" s="92"/>
      <x:c r="P83" s="92"/>
      <x:c r="Q83" s="92"/>
      <x:c r="R83" s="92"/>
      <x:c r="S83" s="92"/>
      <x:c r="T83" s="92"/>
      <x:c r="U83" s="92"/>
      <x:c r="V83" s="92"/>
      <x:c r="W83" s="92"/>
      <x:c r="X83" s="92"/>
      <x:c r="Y83" s="92"/>
      <x:c r="Z83" s="92"/>
    </x:row>
    <x:row r="84">
      <x:c r="A84" s="92"/>
      <x:c r="B84" s="92"/>
      <x:c r="C84" s="92"/>
      <x:c r="D84" s="92"/>
      <x:c r="E84" s="92"/>
      <x:c r="F84" s="92"/>
      <x:c r="G84" s="92"/>
      <x:c r="H84" s="92"/>
      <x:c r="I84" s="92"/>
      <x:c r="J84" s="92"/>
      <x:c r="K84" s="92"/>
      <x:c r="L84" s="92"/>
      <x:c r="M84" s="92"/>
      <x:c r="N84" s="92"/>
      <x:c r="O84" s="92"/>
      <x:c r="P84" s="92"/>
      <x:c r="Q84" s="92"/>
      <x:c r="R84" s="92"/>
      <x:c r="S84" s="92"/>
      <x:c r="T84" s="92"/>
      <x:c r="U84" s="92"/>
      <x:c r="V84" s="92"/>
      <x:c r="W84" s="92"/>
      <x:c r="X84" s="92"/>
      <x:c r="Y84" s="92"/>
      <x:c r="Z84" s="92"/>
    </x:row>
    <x:row r="85">
      <x:c r="A85" s="92"/>
      <x:c r="B85" s="92"/>
      <x:c r="C85" s="92"/>
      <x:c r="D85" s="92"/>
      <x:c r="E85" s="92"/>
      <x:c r="F85" s="92"/>
      <x:c r="G85" s="92"/>
      <x:c r="H85" s="92"/>
      <x:c r="I85" s="92"/>
      <x:c r="J85" s="92"/>
      <x:c r="K85" s="92"/>
      <x:c r="L85" s="92"/>
      <x:c r="M85" s="92"/>
      <x:c r="N85" s="92"/>
      <x:c r="O85" s="92"/>
      <x:c r="P85" s="92"/>
      <x:c r="Q85" s="92"/>
      <x:c r="R85" s="92"/>
      <x:c r="S85" s="92"/>
      <x:c r="T85" s="92"/>
      <x:c r="U85" s="92"/>
      <x:c r="V85" s="92"/>
      <x:c r="W85" s="92"/>
      <x:c r="X85" s="92"/>
      <x:c r="Y85" s="92"/>
      <x:c r="Z85" s="92"/>
    </x:row>
    <x:row r="86">
      <x:c r="A86" s="92"/>
      <x:c r="B86" s="92"/>
      <x:c r="C86" s="92"/>
      <x:c r="D86" s="92"/>
      <x:c r="E86" s="92"/>
      <x:c r="F86" s="92"/>
      <x:c r="G86" s="92"/>
      <x:c r="H86" s="92"/>
      <x:c r="I86" s="92"/>
      <x:c r="J86" s="92"/>
      <x:c r="K86" s="92"/>
      <x:c r="L86" s="92"/>
      <x:c r="M86" s="92"/>
      <x:c r="N86" s="92"/>
      <x:c r="O86" s="92"/>
      <x:c r="P86" s="92"/>
      <x:c r="Q86" s="92"/>
      <x:c r="R86" s="92"/>
      <x:c r="S86" s="92"/>
      <x:c r="T86" s="92"/>
      <x:c r="U86" s="92"/>
      <x:c r="V86" s="92"/>
      <x:c r="W86" s="92"/>
      <x:c r="X86" s="92"/>
      <x:c r="Y86" s="92"/>
      <x:c r="Z86" s="92"/>
    </x:row>
    <x:row r="87">
      <x:c r="A87" s="92"/>
      <x:c r="B87" s="92"/>
      <x:c r="C87" s="92"/>
      <x:c r="D87" s="92"/>
      <x:c r="E87" s="92"/>
      <x:c r="F87" s="92"/>
      <x:c r="G87" s="92"/>
      <x:c r="H87" s="92"/>
      <x:c r="I87" s="92"/>
      <x:c r="J87" s="92"/>
      <x:c r="K87" s="92"/>
      <x:c r="L87" s="92"/>
      <x:c r="M87" s="92"/>
      <x:c r="N87" s="92"/>
      <x:c r="O87" s="92"/>
      <x:c r="P87" s="92"/>
      <x:c r="Q87" s="92"/>
      <x:c r="R87" s="92"/>
      <x:c r="S87" s="92"/>
      <x:c r="T87" s="92"/>
      <x:c r="U87" s="92"/>
      <x:c r="V87" s="92"/>
      <x:c r="W87" s="92"/>
      <x:c r="X87" s="92"/>
      <x:c r="Y87" s="92"/>
      <x:c r="Z87" s="92"/>
    </x:row>
    <x:row r="88">
      <x:c r="A88" s="92"/>
      <x:c r="B88" s="92"/>
      <x:c r="C88" s="92"/>
      <x:c r="D88" s="92"/>
      <x:c r="E88" s="92"/>
      <x:c r="F88" s="92"/>
      <x:c r="G88" s="92"/>
      <x:c r="H88" s="92"/>
      <x:c r="I88" s="92"/>
      <x:c r="J88" s="92"/>
      <x:c r="K88" s="92"/>
      <x:c r="L88" s="92"/>
      <x:c r="M88" s="92"/>
      <x:c r="N88" s="92"/>
      <x:c r="O88" s="92"/>
      <x:c r="P88" s="92"/>
      <x:c r="Q88" s="92"/>
      <x:c r="R88" s="92"/>
      <x:c r="S88" s="92"/>
      <x:c r="T88" s="92"/>
      <x:c r="U88" s="92"/>
      <x:c r="V88" s="92"/>
      <x:c r="W88" s="92"/>
      <x:c r="X88" s="92"/>
      <x:c r="Y88" s="92"/>
      <x:c r="Z88" s="92"/>
    </x:row>
    <x:row r="89">
      <x:c r="A89" s="92"/>
      <x:c r="B89" s="92"/>
      <x:c r="C89" s="92"/>
      <x:c r="D89" s="92"/>
      <x:c r="E89" s="92"/>
      <x:c r="F89" s="92"/>
      <x:c r="G89" s="92"/>
      <x:c r="H89" s="92"/>
      <x:c r="I89" s="92"/>
      <x:c r="J89" s="92"/>
      <x:c r="K89" s="92"/>
      <x:c r="L89" s="92"/>
      <x:c r="M89" s="92"/>
      <x:c r="N89" s="92"/>
      <x:c r="O89" s="92"/>
      <x:c r="P89" s="92"/>
      <x:c r="Q89" s="92"/>
      <x:c r="R89" s="92"/>
      <x:c r="S89" s="92"/>
      <x:c r="T89" s="92"/>
      <x:c r="U89" s="92"/>
      <x:c r="V89" s="92"/>
      <x:c r="W89" s="92"/>
      <x:c r="X89" s="92"/>
      <x:c r="Y89" s="92"/>
      <x:c r="Z89" s="92"/>
    </x:row>
    <x:row r="90">
      <x:c r="A90" s="92"/>
      <x:c r="B90" s="92"/>
      <x:c r="C90" s="92"/>
      <x:c r="D90" s="92"/>
      <x:c r="E90" s="92"/>
      <x:c r="F90" s="92"/>
      <x:c r="G90" s="92"/>
      <x:c r="H90" s="92"/>
      <x:c r="I90" s="92"/>
      <x:c r="J90" s="92"/>
      <x:c r="K90" s="92"/>
      <x:c r="L90" s="92"/>
      <x:c r="M90" s="92"/>
      <x:c r="N90" s="92"/>
      <x:c r="O90" s="92"/>
      <x:c r="P90" s="92"/>
      <x:c r="Q90" s="92"/>
      <x:c r="R90" s="92"/>
      <x:c r="S90" s="92"/>
      <x:c r="T90" s="92"/>
      <x:c r="U90" s="92"/>
      <x:c r="V90" s="92"/>
      <x:c r="W90" s="92"/>
      <x:c r="X90" s="92"/>
      <x:c r="Y90" s="92"/>
      <x:c r="Z90" s="92"/>
    </x:row>
    <x:row r="91">
      <x:c r="A91" s="92"/>
      <x:c r="B91" s="92"/>
      <x:c r="C91" s="92"/>
      <x:c r="D91" s="92"/>
      <x:c r="E91" s="92"/>
      <x:c r="F91" s="92"/>
      <x:c r="G91" s="92"/>
      <x:c r="H91" s="92"/>
      <x:c r="I91" s="92"/>
      <x:c r="J91" s="92"/>
      <x:c r="K91" s="92"/>
      <x:c r="L91" s="92"/>
      <x:c r="M91" s="92"/>
      <x:c r="N91" s="92"/>
      <x:c r="O91" s="92"/>
      <x:c r="P91" s="92"/>
      <x:c r="Q91" s="92"/>
      <x:c r="R91" s="92"/>
      <x:c r="S91" s="92"/>
      <x:c r="T91" s="92"/>
      <x:c r="U91" s="92"/>
      <x:c r="V91" s="92"/>
      <x:c r="W91" s="92"/>
      <x:c r="X91" s="92"/>
      <x:c r="Y91" s="92"/>
      <x:c r="Z91" s="92"/>
    </x:row>
    <x:row r="92">
      <x:c r="A92" s="92"/>
      <x:c r="B92" s="92"/>
      <x:c r="C92" s="92"/>
      <x:c r="D92" s="92"/>
      <x:c r="E92" s="92"/>
      <x:c r="F92" s="92"/>
      <x:c r="G92" s="92"/>
      <x:c r="H92" s="92"/>
      <x:c r="I92" s="92"/>
      <x:c r="J92" s="92"/>
      <x:c r="K92" s="92"/>
      <x:c r="L92" s="92"/>
      <x:c r="M92" s="92"/>
      <x:c r="N92" s="92"/>
      <x:c r="O92" s="92"/>
      <x:c r="P92" s="92"/>
      <x:c r="Q92" s="92"/>
      <x:c r="R92" s="92"/>
      <x:c r="S92" s="92"/>
      <x:c r="T92" s="92"/>
      <x:c r="U92" s="92"/>
      <x:c r="V92" s="92"/>
      <x:c r="W92" s="92"/>
      <x:c r="X92" s="92"/>
      <x:c r="Y92" s="92"/>
      <x:c r="Z92" s="92"/>
    </x:row>
    <x:row r="93">
      <x:c r="A93" s="92"/>
      <x:c r="B93" s="92"/>
      <x:c r="C93" s="92"/>
      <x:c r="D93" s="92"/>
      <x:c r="E93" s="92"/>
      <x:c r="F93" s="92"/>
      <x:c r="G93" s="92"/>
      <x:c r="H93" s="92"/>
      <x:c r="I93" s="92"/>
      <x:c r="J93" s="92"/>
      <x:c r="K93" s="92"/>
      <x:c r="L93" s="92"/>
      <x:c r="M93" s="92"/>
      <x:c r="N93" s="92"/>
      <x:c r="O93" s="92"/>
      <x:c r="P93" s="92"/>
      <x:c r="Q93" s="92"/>
      <x:c r="R93" s="92"/>
      <x:c r="S93" s="92"/>
      <x:c r="T93" s="92"/>
      <x:c r="U93" s="92"/>
      <x:c r="V93" s="92"/>
      <x:c r="W93" s="92"/>
      <x:c r="X93" s="92"/>
      <x:c r="Y93" s="92"/>
      <x:c r="Z93" s="92"/>
    </x:row>
    <x:row r="94">
      <x:c r="A94" s="92"/>
      <x:c r="B94" s="92"/>
      <x:c r="C94" s="92"/>
      <x:c r="D94" s="92"/>
      <x:c r="E94" s="92"/>
      <x:c r="F94" s="92"/>
      <x:c r="G94" s="92"/>
      <x:c r="H94" s="92"/>
      <x:c r="I94" s="92"/>
      <x:c r="J94" s="92"/>
      <x:c r="K94" s="92"/>
      <x:c r="L94" s="92"/>
      <x:c r="M94" s="92"/>
      <x:c r="N94" s="92"/>
      <x:c r="O94" s="92"/>
      <x:c r="P94" s="92"/>
      <x:c r="Q94" s="92"/>
      <x:c r="R94" s="92"/>
      <x:c r="S94" s="92"/>
      <x:c r="T94" s="92"/>
      <x:c r="U94" s="92"/>
      <x:c r="V94" s="92"/>
      <x:c r="W94" s="92"/>
      <x:c r="X94" s="92"/>
      <x:c r="Y94" s="92"/>
      <x:c r="Z94" s="92"/>
    </x:row>
    <x:row r="95">
      <x:c r="A95" s="92"/>
      <x:c r="B95" s="92"/>
      <x:c r="C95" s="92"/>
      <x:c r="D95" s="92"/>
      <x:c r="E95" s="92"/>
      <x:c r="F95" s="92"/>
      <x:c r="G95" s="92"/>
      <x:c r="H95" s="92"/>
      <x:c r="I95" s="92"/>
      <x:c r="J95" s="92"/>
      <x:c r="K95" s="92"/>
      <x:c r="L95" s="92"/>
      <x:c r="M95" s="92"/>
      <x:c r="N95" s="92"/>
      <x:c r="O95" s="92"/>
      <x:c r="P95" s="92"/>
      <x:c r="Q95" s="92"/>
      <x:c r="R95" s="92"/>
      <x:c r="S95" s="92"/>
      <x:c r="T95" s="92"/>
      <x:c r="U95" s="92"/>
      <x:c r="V95" s="92"/>
      <x:c r="W95" s="92"/>
      <x:c r="X95" s="92"/>
      <x:c r="Y95" s="92"/>
      <x:c r="Z95" s="92"/>
    </x:row>
    <x:row r="96">
      <x:c r="A96" s="92"/>
      <x:c r="B96" s="92"/>
      <x:c r="C96" s="92"/>
      <x:c r="D96" s="92"/>
      <x:c r="E96" s="92"/>
      <x:c r="F96" s="92"/>
      <x:c r="G96" s="92"/>
      <x:c r="H96" s="92"/>
      <x:c r="I96" s="92"/>
      <x:c r="J96" s="92"/>
      <x:c r="K96" s="92"/>
      <x:c r="L96" s="92"/>
      <x:c r="M96" s="92"/>
      <x:c r="N96" s="92"/>
      <x:c r="O96" s="92"/>
      <x:c r="P96" s="92"/>
      <x:c r="Q96" s="92"/>
      <x:c r="R96" s="92"/>
      <x:c r="S96" s="92"/>
      <x:c r="T96" s="92"/>
      <x:c r="U96" s="92"/>
      <x:c r="V96" s="92"/>
      <x:c r="W96" s="92"/>
      <x:c r="X96" s="92"/>
      <x:c r="Y96" s="92"/>
      <x:c r="Z96" s="92"/>
    </x:row>
    <x:row r="97">
      <x:c r="A97" s="92"/>
      <x:c r="B97" s="92"/>
      <x:c r="C97" s="92"/>
      <x:c r="D97" s="92"/>
      <x:c r="E97" s="92"/>
      <x:c r="F97" s="92"/>
      <x:c r="G97" s="92"/>
      <x:c r="H97" s="92"/>
      <x:c r="I97" s="92"/>
      <x:c r="J97" s="92"/>
      <x:c r="K97" s="92"/>
      <x:c r="L97" s="92"/>
      <x:c r="M97" s="92"/>
      <x:c r="N97" s="92"/>
      <x:c r="O97" s="92"/>
      <x:c r="P97" s="92"/>
      <x:c r="Q97" s="92"/>
      <x:c r="R97" s="92"/>
      <x:c r="S97" s="92"/>
      <x:c r="T97" s="92"/>
      <x:c r="U97" s="92"/>
      <x:c r="V97" s="92"/>
      <x:c r="W97" s="92"/>
      <x:c r="X97" s="92"/>
      <x:c r="Y97" s="92"/>
      <x:c r="Z97" s="92"/>
    </x:row>
    <x:row r="98">
      <x:c r="A98" s="92"/>
      <x:c r="B98" s="92"/>
      <x:c r="C98" s="92"/>
      <x:c r="D98" s="92"/>
      <x:c r="E98" s="92"/>
      <x:c r="F98" s="92"/>
      <x:c r="G98" s="92"/>
      <x:c r="H98" s="92"/>
      <x:c r="I98" s="92"/>
      <x:c r="J98" s="92"/>
      <x:c r="K98" s="92"/>
      <x:c r="L98" s="92"/>
      <x:c r="M98" s="92"/>
      <x:c r="N98" s="92"/>
      <x:c r="O98" s="92"/>
      <x:c r="P98" s="92"/>
      <x:c r="Q98" s="92"/>
      <x:c r="R98" s="92"/>
      <x:c r="S98" s="92"/>
      <x:c r="T98" s="92"/>
      <x:c r="U98" s="92"/>
      <x:c r="V98" s="92"/>
      <x:c r="W98" s="92"/>
      <x:c r="X98" s="92"/>
      <x:c r="Y98" s="92"/>
      <x:c r="Z98" s="92"/>
    </x:row>
    <x:row r="99">
      <x:c r="A99" s="92"/>
      <x:c r="B99" s="92"/>
      <x:c r="C99" s="92"/>
      <x:c r="D99" s="92"/>
      <x:c r="E99" s="92"/>
      <x:c r="F99" s="92"/>
      <x:c r="G99" s="92"/>
      <x:c r="H99" s="92"/>
      <x:c r="I99" s="92"/>
      <x:c r="J99" s="92"/>
      <x:c r="K99" s="92"/>
      <x:c r="L99" s="92"/>
      <x:c r="M99" s="92"/>
      <x:c r="N99" s="92"/>
      <x:c r="O99" s="92"/>
      <x:c r="P99" s="92"/>
      <x:c r="Q99" s="92"/>
      <x:c r="R99" s="92"/>
      <x:c r="S99" s="92"/>
      <x:c r="T99" s="92"/>
      <x:c r="U99" s="92"/>
      <x:c r="V99" s="92"/>
      <x:c r="W99" s="92"/>
      <x:c r="X99" s="92"/>
      <x:c r="Y99" s="92"/>
      <x:c r="Z99" s="92"/>
    </x:row>
    <x:row r="100">
      <x:c r="A100" s="92"/>
      <x:c r="B100" s="92"/>
      <x:c r="C100" s="92"/>
      <x:c r="D100" s="92"/>
      <x:c r="E100" s="92"/>
      <x:c r="F100" s="92"/>
      <x:c r="G100" s="92"/>
      <x:c r="H100" s="92"/>
      <x:c r="I100" s="92"/>
      <x:c r="J100" s="92"/>
      <x:c r="K100" s="92"/>
      <x:c r="L100" s="92"/>
      <x:c r="M100" s="92"/>
      <x:c r="N100" s="92"/>
      <x:c r="O100" s="92"/>
      <x:c r="P100" s="92"/>
      <x:c r="Q100" s="92"/>
      <x:c r="R100" s="92"/>
      <x:c r="S100" s="92"/>
      <x:c r="T100" s="92"/>
      <x:c r="U100" s="92"/>
      <x:c r="V100" s="92"/>
      <x:c r="W100" s="92"/>
      <x:c r="X100" s="92"/>
      <x:c r="Y100" s="92"/>
      <x:c r="Z100" s="92"/>
    </x:row>
    <x:row r="101">
      <x:c r="A101" s="92"/>
      <x:c r="B101" s="92"/>
      <x:c r="C101" s="92"/>
      <x:c r="D101" s="92"/>
      <x:c r="E101" s="92"/>
      <x:c r="F101" s="92"/>
      <x:c r="G101" s="92"/>
      <x:c r="H101" s="92"/>
      <x:c r="I101" s="92"/>
      <x:c r="J101" s="92"/>
      <x:c r="K101" s="92"/>
      <x:c r="L101" s="92"/>
      <x:c r="M101" s="92"/>
      <x:c r="N101" s="92"/>
      <x:c r="O101" s="92"/>
      <x:c r="P101" s="92"/>
      <x:c r="Q101" s="92"/>
      <x:c r="R101" s="92"/>
      <x:c r="S101" s="92"/>
      <x:c r="T101" s="92"/>
      <x:c r="U101" s="92"/>
      <x:c r="V101" s="92"/>
      <x:c r="W101" s="92"/>
      <x:c r="X101" s="92"/>
      <x:c r="Y101" s="92"/>
      <x:c r="Z101" s="92"/>
    </x:row>
    <x:row r="102">
      <x:c r="A102" s="92"/>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2"/>
      <x:c r="X102" s="92"/>
      <x:c r="Y102" s="92"/>
      <x:c r="Z102" s="92"/>
    </x:row>
    <x:row r="103">
      <x:c r="A103" s="92"/>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2"/>
      <x:c r="X103" s="92"/>
      <x:c r="Y103" s="92"/>
      <x:c r="Z103" s="92"/>
    </x:row>
    <x:row r="104">
      <x:c r="A104" s="92"/>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2"/>
      <x:c r="X104" s="92"/>
      <x:c r="Y104" s="92"/>
      <x:c r="Z104" s="92"/>
    </x:row>
    <x:row r="105">
      <x:c r="A105" s="92"/>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2"/>
      <x:c r="X105" s="92"/>
      <x:c r="Y105" s="92"/>
      <x:c r="Z105" s="92"/>
    </x:row>
    <x:row r="106">
      <x:c r="A106" s="92"/>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2"/>
      <x:c r="X106" s="92"/>
      <x:c r="Y106" s="92"/>
      <x:c r="Z106" s="92"/>
    </x:row>
    <x:row r="107">
      <x:c r="A107" s="92"/>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2"/>
      <x:c r="X107" s="92"/>
      <x:c r="Y107" s="92"/>
      <x:c r="Z107" s="92"/>
    </x:row>
    <x:row r="108">
      <x:c r="A108" s="92"/>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2"/>
      <x:c r="X108" s="92"/>
      <x:c r="Y108" s="92"/>
      <x:c r="Z108" s="92"/>
    </x:row>
    <x:row r="109">
      <x:c r="A109" s="92"/>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2"/>
      <x:c r="X109" s="92"/>
      <x:c r="Y109" s="92"/>
      <x:c r="Z109" s="92"/>
    </x:row>
    <x:row r="110">
      <x:c r="A110" s="92"/>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2"/>
      <x:c r="X110" s="92"/>
      <x:c r="Y110" s="92"/>
      <x:c r="Z110" s="92"/>
    </x:row>
    <x:row r="111">
      <x:c r="A111" s="92"/>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2"/>
      <x:c r="X111" s="92"/>
      <x:c r="Y111" s="92"/>
      <x:c r="Z111" s="92"/>
    </x:row>
    <x:row r="112">
      <x:c r="A112" s="92"/>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2"/>
      <x:c r="X112" s="92"/>
      <x:c r="Y112" s="92"/>
      <x:c r="Z112" s="92"/>
    </x:row>
    <x:row r="113">
      <x:c r="A113" s="92"/>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2"/>
      <x:c r="X113" s="92"/>
      <x:c r="Y113" s="92"/>
      <x:c r="Z113" s="92"/>
    </x:row>
    <x:row r="114">
      <x:c r="A114" s="92"/>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2"/>
      <x:c r="X114" s="92"/>
      <x:c r="Y114" s="92"/>
      <x:c r="Z114" s="92"/>
    </x:row>
    <x:row r="115">
      <x:c r="A115" s="92"/>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2"/>
      <x:c r="X115" s="92"/>
      <x:c r="Y115" s="92"/>
      <x:c r="Z115" s="92"/>
    </x:row>
    <x:row r="116">
      <x:c r="A116" s="92"/>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2"/>
      <x:c r="X116" s="92"/>
      <x:c r="Y116" s="92"/>
      <x:c r="Z116" s="92"/>
    </x:row>
    <x:row r="117">
      <x:c r="A117" s="92"/>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2"/>
      <x:c r="X117" s="92"/>
      <x:c r="Y117" s="92"/>
      <x:c r="Z117" s="92"/>
    </x:row>
    <x:row r="118">
      <x:c r="A118" s="92"/>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2"/>
      <x:c r="X118" s="92"/>
      <x:c r="Y118" s="92"/>
      <x:c r="Z118" s="92"/>
    </x:row>
    <x:row r="119">
      <x:c r="A119" s="92"/>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2"/>
      <x:c r="X119" s="92"/>
      <x:c r="Y119" s="92"/>
      <x:c r="Z119" s="92"/>
    </x:row>
    <x:row r="120">
      <x:c r="A120" s="92"/>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2"/>
      <x:c r="X120" s="92"/>
      <x:c r="Y120" s="92"/>
      <x:c r="Z120" s="92"/>
    </x:row>
    <x:row r="121">
      <x:c r="A121" s="92"/>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2"/>
      <x:c r="X121" s="92"/>
      <x:c r="Y121" s="92"/>
      <x:c r="Z121" s="92"/>
    </x:row>
    <x:row r="122">
      <x:c r="A122" s="92"/>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2"/>
      <x:c r="X122" s="92"/>
      <x:c r="Y122" s="92"/>
      <x:c r="Z122" s="92"/>
    </x:row>
    <x:row r="123">
      <x:c r="A123" s="92"/>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2"/>
      <x:c r="X123" s="92"/>
      <x:c r="Y123" s="92"/>
      <x:c r="Z123" s="92"/>
    </x:row>
    <x:row r="124">
      <x:c r="A124" s="92"/>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2"/>
      <x:c r="X124" s="92"/>
      <x:c r="Y124" s="92"/>
      <x:c r="Z124" s="92"/>
    </x:row>
    <x:row r="125">
      <x:c r="A125" s="92"/>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2"/>
      <x:c r="X125" s="92"/>
      <x:c r="Y125" s="92"/>
      <x:c r="Z125" s="92"/>
    </x:row>
    <x:row r="126">
      <x:c r="A126" s="92"/>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2"/>
      <x:c r="X126" s="92"/>
      <x:c r="Y126" s="92"/>
      <x:c r="Z126" s="92"/>
    </x:row>
    <x:row r="127">
      <x:c r="A127" s="92"/>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2"/>
      <x:c r="X127" s="92"/>
      <x:c r="Y127" s="92"/>
      <x:c r="Z127" s="92"/>
    </x:row>
    <x:row r="128">
      <x:c r="A128" s="92"/>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2"/>
      <x:c r="X128" s="92"/>
      <x:c r="Y128" s="92"/>
      <x:c r="Z128" s="92"/>
    </x:row>
    <x:row r="129">
      <x:c r="A129" s="92"/>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2"/>
      <x:c r="X129" s="92"/>
      <x:c r="Y129" s="92"/>
      <x:c r="Z129" s="92"/>
    </x:row>
    <x:row r="130">
      <x:c r="A130" s="92"/>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2"/>
      <x:c r="X130" s="92"/>
      <x:c r="Y130" s="92"/>
      <x:c r="Z130" s="92"/>
    </x:row>
    <x:row r="131">
      <x:c r="A131" s="92"/>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2"/>
      <x:c r="X131" s="92"/>
      <x:c r="Y131" s="92"/>
      <x:c r="Z131" s="92"/>
    </x:row>
    <x:row r="132">
      <x:c r="A132" s="92"/>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2"/>
      <x:c r="X132" s="92"/>
      <x:c r="Y132" s="92"/>
      <x:c r="Z132" s="92"/>
    </x:row>
    <x:row r="133">
      <x:c r="A133" s="92"/>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2"/>
      <x:c r="X133" s="92"/>
      <x:c r="Y133" s="92"/>
      <x:c r="Z133" s="92"/>
    </x:row>
    <x:row r="134">
      <x:c r="A134" s="92"/>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2"/>
      <x:c r="X134" s="92"/>
      <x:c r="Y134" s="92"/>
      <x:c r="Z134" s="92"/>
    </x:row>
    <x:row r="135">
      <x:c r="A135" s="92"/>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2"/>
      <x:c r="X135" s="92"/>
      <x:c r="Y135" s="92"/>
      <x:c r="Z135" s="92"/>
    </x:row>
    <x:row r="136">
      <x:c r="A136" s="92"/>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2"/>
      <x:c r="X136" s="92"/>
      <x:c r="Y136" s="92"/>
      <x:c r="Z136" s="92"/>
    </x:row>
    <x:row r="137">
      <x:c r="A137" s="92"/>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2"/>
      <x:c r="X137" s="92"/>
      <x:c r="Y137" s="92"/>
      <x:c r="Z137" s="92"/>
    </x:row>
    <x:row r="138">
      <x:c r="A138" s="92"/>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2"/>
      <x:c r="X138" s="92"/>
      <x:c r="Y138" s="92"/>
      <x:c r="Z138" s="92"/>
    </x:row>
    <x:row r="139">
      <x:c r="A139" s="92"/>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2"/>
      <x:c r="X139" s="92"/>
      <x:c r="Y139" s="92"/>
      <x:c r="Z139" s="92"/>
    </x:row>
    <x:row r="140">
      <x:c r="A140" s="92"/>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2"/>
      <x:c r="X140" s="92"/>
      <x:c r="Y140" s="92"/>
      <x:c r="Z140" s="92"/>
    </x:row>
    <x:row r="141">
      <x:c r="A141" s="92"/>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2"/>
      <x:c r="X141" s="92"/>
      <x:c r="Y141" s="92"/>
      <x:c r="Z141" s="92"/>
    </x:row>
    <x:row r="142">
      <x:c r="A142" s="92"/>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2"/>
      <x:c r="X142" s="92"/>
      <x:c r="Y142" s="92"/>
      <x:c r="Z142" s="92"/>
    </x:row>
    <x:row r="143">
      <x:c r="A143" s="92"/>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2"/>
      <x:c r="X143" s="92"/>
      <x:c r="Y143" s="92"/>
      <x:c r="Z143" s="92"/>
    </x:row>
    <x:row r="144">
      <x:c r="A144" s="92"/>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2"/>
      <x:c r="X144" s="92"/>
      <x:c r="Y144" s="92"/>
      <x:c r="Z144" s="92"/>
    </x:row>
    <x:row r="145">
      <x:c r="A145" s="92"/>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2"/>
      <x:c r="X145" s="92"/>
      <x:c r="Y145" s="92"/>
      <x:c r="Z145" s="92"/>
    </x:row>
    <x:row r="146">
      <x:c r="A146" s="92"/>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2"/>
      <x:c r="X146" s="92"/>
      <x:c r="Y146" s="92"/>
      <x:c r="Z146" s="92"/>
    </x:row>
    <x:row r="147">
      <x:c r="A147" s="92"/>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2"/>
      <x:c r="X147" s="92"/>
      <x:c r="Y147" s="92"/>
      <x:c r="Z147" s="92"/>
    </x:row>
    <x:row r="148">
      <x:c r="A148" s="92"/>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2"/>
      <x:c r="X148" s="92"/>
      <x:c r="Y148" s="92"/>
      <x:c r="Z148" s="92"/>
    </x:row>
    <x:row r="149">
      <x:c r="A149" s="92"/>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2"/>
      <x:c r="X149" s="92"/>
      <x:c r="Y149" s="92"/>
      <x:c r="Z149" s="92"/>
    </x:row>
    <x:row r="150">
      <x:c r="A150" s="92"/>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2"/>
      <x:c r="X150" s="92"/>
      <x:c r="Y150" s="92"/>
      <x:c r="Z150" s="92"/>
    </x:row>
    <x:row r="151">
      <x:c r="A151" s="92"/>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2"/>
      <x:c r="X151" s="92"/>
      <x:c r="Y151" s="92"/>
      <x:c r="Z151" s="92"/>
    </x:row>
    <x:row r="152">
      <x:c r="A152" s="92"/>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2"/>
      <x:c r="X152" s="92"/>
      <x:c r="Y152" s="92"/>
      <x:c r="Z152" s="92"/>
    </x:row>
    <x:row r="153">
      <x:c r="A153" s="92"/>
      <x:c r="B153" s="92"/>
      <x:c r="C153" s="92"/>
      <x:c r="D153" s="92"/>
      <x:c r="E153" s="92"/>
      <x:c r="F153" s="92"/>
      <x:c r="G153" s="92"/>
      <x:c r="H153" s="92"/>
      <x:c r="I153" s="92"/>
      <x:c r="J153" s="92"/>
      <x:c r="K153" s="92"/>
      <x:c r="L153" s="92"/>
      <x:c r="M153" s="92"/>
      <x:c r="N153" s="92"/>
      <x:c r="O153" s="92"/>
      <x:c r="P153" s="92"/>
      <x:c r="Q153" s="92"/>
      <x:c r="R153" s="92"/>
      <x:c r="S153" s="92"/>
      <x:c r="T153" s="92"/>
      <x:c r="U153" s="92"/>
      <x:c r="V153" s="92"/>
      <x:c r="W153" s="92"/>
      <x:c r="X153" s="92"/>
      <x:c r="Y153" s="92"/>
      <x:c r="Z153" s="92"/>
    </x:row>
    <x:row r="154">
      <x:c r="A154" s="92"/>
      <x:c r="B154" s="92"/>
      <x:c r="C154" s="92"/>
      <x:c r="D154" s="92"/>
      <x:c r="E154" s="92"/>
      <x:c r="F154" s="92"/>
      <x:c r="G154" s="92"/>
      <x:c r="H154" s="92"/>
      <x:c r="I154" s="92"/>
      <x:c r="J154" s="92"/>
      <x:c r="K154" s="92"/>
      <x:c r="L154" s="92"/>
      <x:c r="M154" s="92"/>
      <x:c r="N154" s="92"/>
      <x:c r="O154" s="92"/>
      <x:c r="P154" s="92"/>
      <x:c r="Q154" s="92"/>
      <x:c r="R154" s="92"/>
      <x:c r="S154" s="92"/>
      <x:c r="T154" s="92"/>
      <x:c r="U154" s="92"/>
      <x:c r="V154" s="92"/>
      <x:c r="W154" s="92"/>
      <x:c r="X154" s="92"/>
      <x:c r="Y154" s="92"/>
      <x:c r="Z154" s="92"/>
    </x:row>
    <x:row r="155">
      <x:c r="A155" s="92"/>
      <x:c r="B155" s="92"/>
      <x:c r="C155" s="92"/>
      <x:c r="D155" s="92"/>
      <x:c r="E155" s="92"/>
      <x:c r="F155" s="92"/>
      <x:c r="G155" s="92"/>
      <x:c r="H155" s="92"/>
      <x:c r="I155" s="92"/>
      <x:c r="J155" s="92"/>
      <x:c r="K155" s="92"/>
      <x:c r="L155" s="92"/>
      <x:c r="M155" s="92"/>
      <x:c r="N155" s="92"/>
      <x:c r="O155" s="92"/>
      <x:c r="P155" s="92"/>
      <x:c r="Q155" s="92"/>
      <x:c r="R155" s="92"/>
      <x:c r="S155" s="92"/>
      <x:c r="T155" s="92"/>
      <x:c r="U155" s="92"/>
      <x:c r="V155" s="92"/>
      <x:c r="W155" s="92"/>
      <x:c r="X155" s="92"/>
      <x:c r="Y155" s="92"/>
      <x:c r="Z155" s="92"/>
    </x:row>
    <x:row r="156">
      <x:c r="A156" s="92"/>
      <x:c r="B156" s="92"/>
      <x:c r="C156" s="92"/>
      <x:c r="D156" s="92"/>
      <x:c r="E156" s="92"/>
      <x:c r="F156" s="92"/>
      <x:c r="G156" s="92"/>
      <x:c r="H156" s="92"/>
      <x:c r="I156" s="92"/>
      <x:c r="J156" s="92"/>
      <x:c r="K156" s="92"/>
      <x:c r="L156" s="92"/>
      <x:c r="M156" s="92"/>
      <x:c r="N156" s="92"/>
      <x:c r="O156" s="92"/>
      <x:c r="P156" s="92"/>
      <x:c r="Q156" s="92"/>
      <x:c r="R156" s="92"/>
      <x:c r="S156" s="92"/>
      <x:c r="T156" s="92"/>
      <x:c r="U156" s="92"/>
      <x:c r="V156" s="92"/>
      <x:c r="W156" s="92"/>
      <x:c r="X156" s="92"/>
      <x:c r="Y156" s="92"/>
      <x:c r="Z156" s="92"/>
    </x:row>
    <x:row r="157">
      <x:c r="A157" s="92"/>
      <x:c r="B157" s="92"/>
      <x:c r="C157" s="92"/>
      <x:c r="D157" s="92"/>
      <x:c r="E157" s="92"/>
      <x:c r="F157" s="92"/>
      <x:c r="G157" s="92"/>
      <x:c r="H157" s="92"/>
      <x:c r="I157" s="92"/>
      <x:c r="J157" s="92"/>
      <x:c r="K157" s="92"/>
      <x:c r="L157" s="92"/>
      <x:c r="M157" s="92"/>
      <x:c r="N157" s="92"/>
      <x:c r="O157" s="92"/>
      <x:c r="P157" s="92"/>
      <x:c r="Q157" s="92"/>
      <x:c r="R157" s="92"/>
      <x:c r="S157" s="92"/>
      <x:c r="T157" s="92"/>
      <x:c r="U157" s="92"/>
      <x:c r="V157" s="92"/>
      <x:c r="W157" s="92"/>
      <x:c r="X157" s="92"/>
      <x:c r="Y157" s="92"/>
      <x:c r="Z157" s="92"/>
    </x:row>
    <x:row r="158">
      <x:c r="A158" s="92"/>
      <x:c r="B158" s="92"/>
      <x:c r="C158" s="92"/>
      <x:c r="D158" s="92"/>
      <x:c r="E158" s="92"/>
      <x:c r="F158" s="92"/>
      <x:c r="G158" s="92"/>
      <x:c r="H158" s="92"/>
      <x:c r="I158" s="92"/>
      <x:c r="J158" s="92"/>
      <x:c r="K158" s="92"/>
      <x:c r="L158" s="92"/>
      <x:c r="M158" s="92"/>
      <x:c r="N158" s="92"/>
      <x:c r="O158" s="92"/>
      <x:c r="P158" s="92"/>
      <x:c r="Q158" s="92"/>
      <x:c r="R158" s="92"/>
      <x:c r="S158" s="92"/>
      <x:c r="T158" s="92"/>
      <x:c r="U158" s="92"/>
      <x:c r="V158" s="92"/>
      <x:c r="W158" s="92"/>
      <x:c r="X158" s="92"/>
      <x:c r="Y158" s="92"/>
      <x:c r="Z158" s="92"/>
    </x:row>
    <x:row r="159">
      <x:c r="A159" s="92"/>
      <x:c r="B159" s="92"/>
      <x:c r="C159" s="92"/>
      <x:c r="D159" s="92"/>
      <x:c r="E159" s="92"/>
      <x:c r="F159" s="92"/>
      <x:c r="G159" s="92"/>
      <x:c r="H159" s="92"/>
      <x:c r="I159" s="92"/>
      <x:c r="J159" s="92"/>
      <x:c r="K159" s="92"/>
      <x:c r="L159" s="92"/>
      <x:c r="M159" s="92"/>
      <x:c r="N159" s="92"/>
      <x:c r="O159" s="92"/>
      <x:c r="P159" s="92"/>
      <x:c r="Q159" s="92"/>
      <x:c r="R159" s="92"/>
      <x:c r="S159" s="92"/>
      <x:c r="T159" s="92"/>
      <x:c r="U159" s="92"/>
      <x:c r="V159" s="92"/>
      <x:c r="W159" s="92"/>
      <x:c r="X159" s="92"/>
      <x:c r="Y159" s="92"/>
      <x:c r="Z159" s="92"/>
    </x:row>
    <x:row r="160">
      <x:c r="A160" s="92"/>
      <x:c r="B160" s="92"/>
      <x:c r="C160" s="92"/>
      <x:c r="D160" s="92"/>
      <x:c r="E160" s="92"/>
      <x:c r="F160" s="92"/>
      <x:c r="G160" s="92"/>
      <x:c r="H160" s="92"/>
      <x:c r="I160" s="92"/>
      <x:c r="J160" s="92"/>
      <x:c r="K160" s="92"/>
      <x:c r="L160" s="92"/>
      <x:c r="M160" s="92"/>
      <x:c r="N160" s="92"/>
      <x:c r="O160" s="92"/>
      <x:c r="P160" s="92"/>
      <x:c r="Q160" s="92"/>
      <x:c r="R160" s="92"/>
      <x:c r="S160" s="92"/>
      <x:c r="T160" s="92"/>
      <x:c r="U160" s="92"/>
      <x:c r="V160" s="92"/>
      <x:c r="W160" s="92"/>
      <x:c r="X160" s="92"/>
      <x:c r="Y160" s="92"/>
      <x:c r="Z160" s="92"/>
    </x:row>
    <x:row r="161">
      <x:c r="A161" s="92"/>
      <x:c r="B161" s="92"/>
      <x:c r="C161" s="92"/>
      <x:c r="D161" s="92"/>
      <x:c r="E161" s="92"/>
      <x:c r="F161" s="92"/>
      <x:c r="G161" s="92"/>
      <x:c r="H161" s="92"/>
      <x:c r="I161" s="92"/>
      <x:c r="J161" s="92"/>
      <x:c r="K161" s="92"/>
      <x:c r="L161" s="92"/>
      <x:c r="M161" s="92"/>
      <x:c r="N161" s="92"/>
      <x:c r="O161" s="92"/>
      <x:c r="P161" s="92"/>
      <x:c r="Q161" s="92"/>
      <x:c r="R161" s="92"/>
      <x:c r="S161" s="92"/>
      <x:c r="T161" s="92"/>
      <x:c r="U161" s="92"/>
      <x:c r="V161" s="92"/>
      <x:c r="W161" s="92"/>
      <x:c r="X161" s="92"/>
      <x:c r="Y161" s="92"/>
      <x:c r="Z161" s="92"/>
    </x:row>
    <x:row r="162">
      <x:c r="A162" s="92"/>
      <x:c r="B162" s="92"/>
      <x:c r="C162" s="92"/>
      <x:c r="D162" s="92"/>
      <x:c r="E162" s="92"/>
      <x:c r="F162" s="92"/>
      <x:c r="G162" s="92"/>
      <x:c r="H162" s="92"/>
      <x:c r="I162" s="92"/>
      <x:c r="J162" s="92"/>
      <x:c r="K162" s="92"/>
      <x:c r="L162" s="92"/>
      <x:c r="M162" s="92"/>
      <x:c r="N162" s="92"/>
      <x:c r="O162" s="92"/>
      <x:c r="P162" s="92"/>
      <x:c r="Q162" s="92"/>
      <x:c r="R162" s="92"/>
      <x:c r="S162" s="92"/>
      <x:c r="T162" s="92"/>
      <x:c r="U162" s="92"/>
      <x:c r="V162" s="92"/>
      <x:c r="W162" s="92"/>
      <x:c r="X162" s="92"/>
      <x:c r="Y162" s="92"/>
      <x:c r="Z162" s="92"/>
    </x:row>
    <x:row r="163">
      <x:c r="A163" s="92"/>
      <x:c r="B163" s="92"/>
      <x:c r="C163" s="92"/>
      <x:c r="D163" s="92"/>
      <x:c r="E163" s="92"/>
      <x:c r="F163" s="92"/>
      <x:c r="G163" s="92"/>
      <x:c r="H163" s="92"/>
      <x:c r="I163" s="92"/>
      <x:c r="J163" s="92"/>
      <x:c r="K163" s="92"/>
      <x:c r="L163" s="92"/>
      <x:c r="M163" s="92"/>
      <x:c r="N163" s="92"/>
      <x:c r="O163" s="92"/>
      <x:c r="P163" s="92"/>
      <x:c r="Q163" s="92"/>
      <x:c r="R163" s="92"/>
      <x:c r="S163" s="92"/>
      <x:c r="T163" s="92"/>
      <x:c r="U163" s="92"/>
      <x:c r="V163" s="92"/>
      <x:c r="W163" s="92"/>
      <x:c r="X163" s="92"/>
      <x:c r="Y163" s="92"/>
      <x:c r="Z163" s="92"/>
    </x:row>
    <x:row r="164">
      <x:c r="A164" s="92"/>
      <x:c r="B164" s="92"/>
      <x:c r="C164" s="92"/>
      <x:c r="D164" s="92"/>
      <x:c r="E164" s="92"/>
      <x:c r="F164" s="92"/>
      <x:c r="G164" s="92"/>
      <x:c r="H164" s="92"/>
      <x:c r="I164" s="92"/>
      <x:c r="J164" s="92"/>
      <x:c r="K164" s="92"/>
      <x:c r="L164" s="92"/>
      <x:c r="M164" s="92"/>
      <x:c r="N164" s="92"/>
      <x:c r="O164" s="92"/>
      <x:c r="P164" s="92"/>
      <x:c r="Q164" s="92"/>
      <x:c r="R164" s="92"/>
      <x:c r="S164" s="92"/>
      <x:c r="T164" s="92"/>
      <x:c r="U164" s="92"/>
      <x:c r="V164" s="92"/>
      <x:c r="W164" s="92"/>
      <x:c r="X164" s="92"/>
      <x:c r="Y164" s="92"/>
      <x:c r="Z164" s="92"/>
    </x:row>
    <x:row r="165">
      <x:c r="A165" s="92"/>
      <x:c r="B165" s="92"/>
      <x:c r="C165" s="92"/>
      <x:c r="D165" s="92"/>
      <x:c r="E165" s="92"/>
      <x:c r="F165" s="92"/>
      <x:c r="G165" s="92"/>
      <x:c r="H165" s="92"/>
      <x:c r="I165" s="92"/>
      <x:c r="J165" s="92"/>
      <x:c r="K165" s="92"/>
      <x:c r="L165" s="92"/>
      <x:c r="M165" s="92"/>
      <x:c r="N165" s="92"/>
      <x:c r="O165" s="92"/>
      <x:c r="P165" s="92"/>
      <x:c r="Q165" s="92"/>
      <x:c r="R165" s="92"/>
      <x:c r="S165" s="92"/>
      <x:c r="T165" s="92"/>
      <x:c r="U165" s="92"/>
      <x:c r="V165" s="92"/>
      <x:c r="W165" s="92"/>
      <x:c r="X165" s="92"/>
      <x:c r="Y165" s="92"/>
      <x:c r="Z165" s="92"/>
    </x:row>
    <x:row r="166">
      <x:c r="A166" s="92"/>
      <x:c r="B166" s="92"/>
      <x:c r="C166" s="92"/>
      <x:c r="D166" s="92"/>
      <x:c r="E166" s="92"/>
      <x:c r="F166" s="92"/>
      <x:c r="G166" s="92"/>
      <x:c r="H166" s="92"/>
      <x:c r="I166" s="92"/>
      <x:c r="J166" s="92"/>
      <x:c r="K166" s="92"/>
      <x:c r="L166" s="92"/>
      <x:c r="M166" s="92"/>
      <x:c r="N166" s="92"/>
      <x:c r="O166" s="92"/>
      <x:c r="P166" s="92"/>
      <x:c r="Q166" s="92"/>
      <x:c r="R166" s="92"/>
      <x:c r="S166" s="92"/>
      <x:c r="T166" s="92"/>
      <x:c r="U166" s="92"/>
      <x:c r="V166" s="92"/>
      <x:c r="W166" s="92"/>
      <x:c r="X166" s="92"/>
      <x:c r="Y166" s="92"/>
      <x:c r="Z166" s="92"/>
    </x:row>
    <x:row r="167">
      <x:c r="A167" s="92"/>
      <x:c r="B167" s="92"/>
      <x:c r="C167" s="92"/>
      <x:c r="D167" s="92"/>
      <x:c r="E167" s="92"/>
      <x:c r="F167" s="92"/>
      <x:c r="G167" s="92"/>
      <x:c r="H167" s="92"/>
      <x:c r="I167" s="92"/>
      <x:c r="J167" s="92"/>
      <x:c r="K167" s="92"/>
      <x:c r="L167" s="92"/>
      <x:c r="M167" s="92"/>
      <x:c r="N167" s="92"/>
      <x:c r="O167" s="92"/>
      <x:c r="P167" s="92"/>
      <x:c r="Q167" s="92"/>
      <x:c r="R167" s="92"/>
      <x:c r="S167" s="92"/>
      <x:c r="T167" s="92"/>
      <x:c r="U167" s="92"/>
      <x:c r="V167" s="92"/>
      <x:c r="W167" s="92"/>
      <x:c r="X167" s="92"/>
      <x:c r="Y167" s="92"/>
      <x:c r="Z167" s="92"/>
    </x:row>
    <x:row r="168">
      <x:c r="A168" s="92"/>
      <x:c r="B168" s="92"/>
      <x:c r="C168" s="92"/>
      <x:c r="D168" s="92"/>
      <x:c r="E168" s="92"/>
      <x:c r="F168" s="92"/>
      <x:c r="G168" s="92"/>
      <x:c r="H168" s="92"/>
      <x:c r="I168" s="92"/>
      <x:c r="J168" s="92"/>
      <x:c r="K168" s="92"/>
      <x:c r="L168" s="92"/>
      <x:c r="M168" s="92"/>
      <x:c r="N168" s="92"/>
      <x:c r="O168" s="92"/>
      <x:c r="P168" s="92"/>
      <x:c r="Q168" s="92"/>
      <x:c r="R168" s="92"/>
      <x:c r="S168" s="92"/>
      <x:c r="T168" s="92"/>
      <x:c r="U168" s="92"/>
      <x:c r="V168" s="92"/>
      <x:c r="W168" s="92"/>
      <x:c r="X168" s="92"/>
      <x:c r="Y168" s="92"/>
      <x:c r="Z168" s="92"/>
    </x:row>
    <x:row r="169">
      <x:c r="A169" s="92"/>
      <x:c r="B169" s="92"/>
      <x:c r="C169" s="92"/>
      <x:c r="D169" s="92"/>
      <x:c r="E169" s="92"/>
      <x:c r="F169" s="92"/>
      <x:c r="G169" s="92"/>
      <x:c r="H169" s="92"/>
      <x:c r="I169" s="92"/>
      <x:c r="J169" s="92"/>
      <x:c r="K169" s="92"/>
      <x:c r="L169" s="92"/>
      <x:c r="M169" s="92"/>
      <x:c r="N169" s="92"/>
      <x:c r="O169" s="92"/>
      <x:c r="P169" s="92"/>
      <x:c r="Q169" s="92"/>
      <x:c r="R169" s="92"/>
      <x:c r="S169" s="92"/>
      <x:c r="T169" s="92"/>
      <x:c r="U169" s="92"/>
      <x:c r="V169" s="92"/>
      <x:c r="W169" s="92"/>
      <x:c r="X169" s="92"/>
      <x:c r="Y169" s="92"/>
      <x:c r="Z169" s="92"/>
    </x:row>
    <x:row r="170">
      <x:c r="A170" s="92"/>
      <x:c r="B170" s="92"/>
      <x:c r="C170" s="92"/>
      <x:c r="D170" s="92"/>
      <x:c r="E170" s="92"/>
      <x:c r="F170" s="92"/>
      <x:c r="G170" s="92"/>
      <x:c r="H170" s="92"/>
      <x:c r="I170" s="92"/>
      <x:c r="J170" s="92"/>
      <x:c r="K170" s="92"/>
      <x:c r="L170" s="92"/>
      <x:c r="M170" s="92"/>
      <x:c r="N170" s="92"/>
      <x:c r="O170" s="92"/>
      <x:c r="P170" s="92"/>
      <x:c r="Q170" s="92"/>
      <x:c r="R170" s="92"/>
      <x:c r="S170" s="92"/>
      <x:c r="T170" s="92"/>
      <x:c r="U170" s="92"/>
      <x:c r="V170" s="92"/>
      <x:c r="W170" s="92"/>
      <x:c r="X170" s="92"/>
      <x:c r="Y170" s="92"/>
      <x:c r="Z170" s="92"/>
    </x:row>
    <x:row r="171">
      <x:c r="A171" s="92"/>
      <x:c r="B171" s="92"/>
      <x:c r="C171" s="92"/>
      <x:c r="D171" s="92"/>
      <x:c r="E171" s="92"/>
      <x:c r="F171" s="92"/>
      <x:c r="G171" s="92"/>
      <x:c r="H171" s="92"/>
      <x:c r="I171" s="92"/>
      <x:c r="J171" s="92"/>
      <x:c r="K171" s="92"/>
      <x:c r="L171" s="92"/>
      <x:c r="M171" s="92"/>
      <x:c r="N171" s="92"/>
      <x:c r="O171" s="92"/>
      <x:c r="P171" s="92"/>
      <x:c r="Q171" s="92"/>
      <x:c r="R171" s="92"/>
      <x:c r="S171" s="92"/>
      <x:c r="T171" s="92"/>
      <x:c r="U171" s="92"/>
      <x:c r="V171" s="92"/>
      <x:c r="W171" s="92"/>
      <x:c r="X171" s="92"/>
      <x:c r="Y171" s="92"/>
      <x:c r="Z171" s="92"/>
    </x:row>
    <x:row r="172">
      <x:c r="A172" s="92"/>
      <x:c r="B172" s="92"/>
      <x:c r="C172" s="92"/>
      <x:c r="D172" s="92"/>
      <x:c r="E172" s="92"/>
      <x:c r="F172" s="92"/>
      <x:c r="G172" s="92"/>
      <x:c r="H172" s="92"/>
      <x:c r="I172" s="92"/>
      <x:c r="J172" s="92"/>
      <x:c r="K172" s="92"/>
      <x:c r="L172" s="92"/>
      <x:c r="M172" s="92"/>
      <x:c r="N172" s="92"/>
      <x:c r="O172" s="92"/>
      <x:c r="P172" s="92"/>
      <x:c r="Q172" s="92"/>
      <x:c r="R172" s="92"/>
      <x:c r="S172" s="92"/>
      <x:c r="T172" s="92"/>
      <x:c r="U172" s="92"/>
      <x:c r="V172" s="92"/>
      <x:c r="W172" s="92"/>
      <x:c r="X172" s="92"/>
      <x:c r="Y172" s="92"/>
      <x:c r="Z172" s="92"/>
    </x:row>
    <x:row r="173">
      <x:c r="A173" s="92"/>
      <x:c r="B173" s="92"/>
      <x:c r="C173" s="92"/>
      <x:c r="D173" s="92"/>
      <x:c r="E173" s="92"/>
      <x:c r="F173" s="92"/>
      <x:c r="G173" s="92"/>
      <x:c r="H173" s="92"/>
      <x:c r="I173" s="92"/>
      <x:c r="J173" s="92"/>
      <x:c r="K173" s="92"/>
      <x:c r="L173" s="92"/>
      <x:c r="M173" s="92"/>
      <x:c r="N173" s="92"/>
      <x:c r="O173" s="92"/>
      <x:c r="P173" s="92"/>
      <x:c r="Q173" s="92"/>
      <x:c r="R173" s="92"/>
      <x:c r="S173" s="92"/>
      <x:c r="T173" s="92"/>
      <x:c r="U173" s="92"/>
      <x:c r="V173" s="92"/>
      <x:c r="W173" s="92"/>
      <x:c r="X173" s="92"/>
      <x:c r="Y173" s="92"/>
      <x:c r="Z173" s="92"/>
    </x:row>
    <x:row r="174">
      <x:c r="A174" s="92"/>
      <x:c r="B174" s="92"/>
      <x:c r="C174" s="92"/>
      <x:c r="D174" s="92"/>
      <x:c r="E174" s="92"/>
      <x:c r="F174" s="92"/>
      <x:c r="G174" s="92"/>
      <x:c r="H174" s="92"/>
      <x:c r="I174" s="92"/>
      <x:c r="J174" s="92"/>
      <x:c r="K174" s="92"/>
      <x:c r="L174" s="92"/>
      <x:c r="M174" s="92"/>
      <x:c r="N174" s="92"/>
      <x:c r="O174" s="92"/>
      <x:c r="P174" s="92"/>
      <x:c r="Q174" s="92"/>
      <x:c r="R174" s="92"/>
      <x:c r="S174" s="92"/>
      <x:c r="T174" s="92"/>
      <x:c r="U174" s="92"/>
      <x:c r="V174" s="92"/>
      <x:c r="W174" s="92"/>
      <x:c r="X174" s="92"/>
      <x:c r="Y174" s="92"/>
      <x:c r="Z174" s="92"/>
    </x:row>
    <x:row r="175">
      <x:c r="A175" s="92"/>
      <x:c r="B175" s="92"/>
      <x:c r="C175" s="92"/>
      <x:c r="D175" s="92"/>
      <x:c r="E175" s="92"/>
      <x:c r="F175" s="92"/>
      <x:c r="G175" s="92"/>
      <x:c r="H175" s="92"/>
      <x:c r="I175" s="92"/>
      <x:c r="J175" s="92"/>
      <x:c r="K175" s="92"/>
      <x:c r="L175" s="92"/>
      <x:c r="M175" s="92"/>
      <x:c r="N175" s="92"/>
      <x:c r="O175" s="92"/>
      <x:c r="P175" s="92"/>
      <x:c r="Q175" s="92"/>
      <x:c r="R175" s="92"/>
      <x:c r="S175" s="92"/>
      <x:c r="T175" s="92"/>
      <x:c r="U175" s="92"/>
      <x:c r="V175" s="92"/>
      <x:c r="W175" s="92"/>
      <x:c r="X175" s="92"/>
      <x:c r="Y175" s="92"/>
      <x:c r="Z175" s="92"/>
    </x:row>
    <x:row r="176">
      <x:c r="A176" s="92"/>
      <x:c r="B176" s="92"/>
      <x:c r="C176" s="92"/>
      <x:c r="D176" s="92"/>
      <x:c r="E176" s="92"/>
      <x:c r="F176" s="92"/>
      <x:c r="G176" s="92"/>
      <x:c r="H176" s="92"/>
      <x:c r="I176" s="92"/>
      <x:c r="J176" s="92"/>
      <x:c r="K176" s="92"/>
      <x:c r="L176" s="92"/>
      <x:c r="M176" s="92"/>
      <x:c r="N176" s="92"/>
      <x:c r="O176" s="92"/>
      <x:c r="P176" s="92"/>
      <x:c r="Q176" s="92"/>
      <x:c r="R176" s="92"/>
      <x:c r="S176" s="92"/>
      <x:c r="T176" s="92"/>
      <x:c r="U176" s="92"/>
      <x:c r="V176" s="92"/>
      <x:c r="W176" s="92"/>
      <x:c r="X176" s="92"/>
      <x:c r="Y176" s="92"/>
      <x:c r="Z176" s="92"/>
    </x:row>
    <x:row r="177">
      <x:c r="A177" s="92"/>
      <x:c r="B177" s="92"/>
      <x:c r="C177" s="92"/>
      <x:c r="D177" s="92"/>
      <x:c r="E177" s="92"/>
      <x:c r="F177" s="92"/>
      <x:c r="G177" s="92"/>
      <x:c r="H177" s="92"/>
      <x:c r="I177" s="92"/>
      <x:c r="J177" s="92"/>
      <x:c r="K177" s="92"/>
      <x:c r="L177" s="92"/>
      <x:c r="M177" s="92"/>
      <x:c r="N177" s="92"/>
      <x:c r="O177" s="92"/>
      <x:c r="P177" s="92"/>
      <x:c r="Q177" s="92"/>
      <x:c r="R177" s="92"/>
      <x:c r="S177" s="92"/>
      <x:c r="T177" s="92"/>
      <x:c r="U177" s="92"/>
      <x:c r="V177" s="92"/>
      <x:c r="W177" s="92"/>
      <x:c r="X177" s="92"/>
      <x:c r="Y177" s="92"/>
      <x:c r="Z177" s="92"/>
    </x:row>
    <x:row r="178">
      <x:c r="A178" s="92"/>
      <x:c r="B178" s="92"/>
      <x:c r="C178" s="92"/>
      <x:c r="D178" s="92"/>
      <x:c r="E178" s="92"/>
      <x:c r="F178" s="92"/>
      <x:c r="G178" s="92"/>
      <x:c r="H178" s="92"/>
      <x:c r="I178" s="92"/>
      <x:c r="J178" s="92"/>
      <x:c r="K178" s="92"/>
      <x:c r="L178" s="92"/>
      <x:c r="M178" s="92"/>
      <x:c r="N178" s="92"/>
      <x:c r="O178" s="92"/>
      <x:c r="P178" s="92"/>
      <x:c r="Q178" s="92"/>
      <x:c r="R178" s="92"/>
      <x:c r="S178" s="92"/>
      <x:c r="T178" s="92"/>
      <x:c r="U178" s="92"/>
      <x:c r="V178" s="92"/>
      <x:c r="W178" s="92"/>
      <x:c r="X178" s="92"/>
      <x:c r="Y178" s="92"/>
      <x:c r="Z178" s="92"/>
    </x:row>
    <x:row r="179">
      <x:c r="A179" s="92"/>
      <x:c r="B179" s="92"/>
      <x:c r="C179" s="92"/>
      <x:c r="D179" s="92"/>
      <x:c r="E179" s="92"/>
      <x:c r="F179" s="92"/>
      <x:c r="G179" s="92"/>
      <x:c r="H179" s="92"/>
      <x:c r="I179" s="92"/>
      <x:c r="J179" s="92"/>
      <x:c r="K179" s="92"/>
      <x:c r="L179" s="92"/>
      <x:c r="M179" s="92"/>
      <x:c r="N179" s="92"/>
      <x:c r="O179" s="92"/>
      <x:c r="P179" s="92"/>
      <x:c r="Q179" s="92"/>
      <x:c r="R179" s="92"/>
      <x:c r="S179" s="92"/>
      <x:c r="T179" s="92"/>
      <x:c r="U179" s="92"/>
      <x:c r="V179" s="92"/>
      <x:c r="W179" s="92"/>
      <x:c r="X179" s="92"/>
      <x:c r="Y179" s="92"/>
      <x:c r="Z179" s="92"/>
    </x:row>
    <x:row r="180">
      <x:c r="A180" s="92"/>
      <x:c r="B180" s="92"/>
      <x:c r="C180" s="92"/>
      <x:c r="D180" s="92"/>
      <x:c r="E180" s="92"/>
      <x:c r="F180" s="92"/>
      <x:c r="G180" s="92"/>
      <x:c r="H180" s="92"/>
      <x:c r="I180" s="92"/>
      <x:c r="J180" s="92"/>
      <x:c r="K180" s="92"/>
      <x:c r="L180" s="92"/>
      <x:c r="M180" s="92"/>
      <x:c r="N180" s="92"/>
      <x:c r="O180" s="92"/>
      <x:c r="P180" s="92"/>
      <x:c r="Q180" s="92"/>
      <x:c r="R180" s="92"/>
      <x:c r="S180" s="92"/>
      <x:c r="T180" s="92"/>
      <x:c r="U180" s="92"/>
      <x:c r="V180" s="92"/>
      <x:c r="W180" s="92"/>
      <x:c r="X180" s="92"/>
      <x:c r="Y180" s="92"/>
      <x:c r="Z180" s="92"/>
    </x:row>
    <x:row r="181">
      <x:c r="A181" s="92"/>
      <x:c r="B181" s="92"/>
      <x:c r="C181" s="92"/>
      <x:c r="D181" s="92"/>
      <x:c r="E181" s="92"/>
      <x:c r="F181" s="92"/>
      <x:c r="G181" s="92"/>
      <x:c r="H181" s="92"/>
      <x:c r="I181" s="92"/>
      <x:c r="J181" s="92"/>
      <x:c r="K181" s="92"/>
      <x:c r="L181" s="92"/>
      <x:c r="M181" s="92"/>
      <x:c r="N181" s="92"/>
      <x:c r="O181" s="92"/>
      <x:c r="P181" s="92"/>
      <x:c r="Q181" s="92"/>
      <x:c r="R181" s="92"/>
      <x:c r="S181" s="92"/>
      <x:c r="T181" s="92"/>
      <x:c r="U181" s="92"/>
      <x:c r="V181" s="92"/>
      <x:c r="W181" s="92"/>
      <x:c r="X181" s="92"/>
      <x:c r="Y181" s="92"/>
      <x:c r="Z181" s="92"/>
    </x:row>
    <x:row r="182">
      <x:c r="A182" s="92"/>
      <x:c r="B182" s="92"/>
      <x:c r="C182" s="92"/>
      <x:c r="D182" s="92"/>
      <x:c r="E182" s="92"/>
      <x:c r="F182" s="92"/>
      <x:c r="G182" s="92"/>
      <x:c r="H182" s="92"/>
      <x:c r="I182" s="92"/>
      <x:c r="J182" s="92"/>
      <x:c r="K182" s="92"/>
      <x:c r="L182" s="92"/>
      <x:c r="M182" s="92"/>
      <x:c r="N182" s="92"/>
      <x:c r="O182" s="92"/>
      <x:c r="P182" s="92"/>
      <x:c r="Q182" s="92"/>
      <x:c r="R182" s="92"/>
      <x:c r="S182" s="92"/>
      <x:c r="T182" s="92"/>
      <x:c r="U182" s="92"/>
      <x:c r="V182" s="92"/>
      <x:c r="W182" s="92"/>
      <x:c r="X182" s="92"/>
      <x:c r="Y182" s="92"/>
      <x:c r="Z182" s="92"/>
    </x:row>
    <x:row r="183">
      <x:c r="A183" s="92"/>
      <x:c r="B183" s="92"/>
      <x:c r="C183" s="92"/>
      <x:c r="D183" s="92"/>
      <x:c r="E183" s="92"/>
      <x:c r="F183" s="92"/>
      <x:c r="G183" s="92"/>
      <x:c r="H183" s="92"/>
      <x:c r="I183" s="92"/>
      <x:c r="J183" s="92"/>
      <x:c r="K183" s="92"/>
      <x:c r="L183" s="92"/>
      <x:c r="M183" s="92"/>
      <x:c r="N183" s="92"/>
      <x:c r="O183" s="92"/>
      <x:c r="P183" s="92"/>
      <x:c r="Q183" s="92"/>
      <x:c r="R183" s="92"/>
      <x:c r="S183" s="92"/>
      <x:c r="T183" s="92"/>
      <x:c r="U183" s="92"/>
      <x:c r="V183" s="92"/>
      <x:c r="W183" s="92"/>
      <x:c r="X183" s="92"/>
      <x:c r="Y183" s="92"/>
      <x:c r="Z183" s="92"/>
    </x:row>
    <x:row r="184">
      <x:c r="A184" s="92"/>
      <x:c r="B184" s="92"/>
      <x:c r="C184" s="92"/>
      <x:c r="D184" s="92"/>
      <x:c r="E184" s="92"/>
      <x:c r="F184" s="92"/>
      <x:c r="G184" s="92"/>
      <x:c r="H184" s="92"/>
      <x:c r="I184" s="92"/>
      <x:c r="J184" s="92"/>
      <x:c r="K184" s="92"/>
      <x:c r="L184" s="92"/>
      <x:c r="M184" s="92"/>
      <x:c r="N184" s="92"/>
      <x:c r="O184" s="92"/>
      <x:c r="P184" s="92"/>
      <x:c r="Q184" s="92"/>
      <x:c r="R184" s="92"/>
      <x:c r="S184" s="92"/>
      <x:c r="T184" s="92"/>
      <x:c r="U184" s="92"/>
      <x:c r="V184" s="92"/>
      <x:c r="W184" s="92"/>
      <x:c r="X184" s="92"/>
      <x:c r="Y184" s="92"/>
      <x:c r="Z184" s="92"/>
    </x:row>
    <x:row r="185">
      <x:c r="A185" s="92"/>
      <x:c r="B185" s="92"/>
      <x:c r="C185" s="92"/>
      <x:c r="D185" s="92"/>
      <x:c r="E185" s="92"/>
      <x:c r="F185" s="92"/>
      <x:c r="G185" s="92"/>
      <x:c r="H185" s="92"/>
      <x:c r="I185" s="92"/>
      <x:c r="J185" s="92"/>
      <x:c r="K185" s="92"/>
      <x:c r="L185" s="92"/>
      <x:c r="M185" s="92"/>
      <x:c r="N185" s="92"/>
      <x:c r="O185" s="92"/>
      <x:c r="P185" s="92"/>
      <x:c r="Q185" s="92"/>
      <x:c r="R185" s="92"/>
      <x:c r="S185" s="92"/>
      <x:c r="T185" s="92"/>
      <x:c r="U185" s="92"/>
      <x:c r="V185" s="92"/>
      <x:c r="W185" s="92"/>
      <x:c r="X185" s="92"/>
      <x:c r="Y185" s="92"/>
      <x:c r="Z185" s="92"/>
    </x:row>
    <x:row r="186">
      <x:c r="A186" s="92"/>
      <x:c r="B186" s="92"/>
      <x:c r="C186" s="92"/>
      <x:c r="D186" s="92"/>
      <x:c r="E186" s="92"/>
      <x:c r="F186" s="92"/>
      <x:c r="G186" s="92"/>
      <x:c r="H186" s="92"/>
      <x:c r="I186" s="92"/>
      <x:c r="J186" s="92"/>
      <x:c r="K186" s="92"/>
      <x:c r="L186" s="92"/>
      <x:c r="M186" s="92"/>
      <x:c r="N186" s="92"/>
      <x:c r="O186" s="92"/>
      <x:c r="P186" s="92"/>
      <x:c r="Q186" s="92"/>
      <x:c r="R186" s="92"/>
      <x:c r="S186" s="92"/>
      <x:c r="T186" s="92"/>
      <x:c r="U186" s="92"/>
      <x:c r="V186" s="92"/>
      <x:c r="W186" s="92"/>
      <x:c r="X186" s="92"/>
      <x:c r="Y186" s="92"/>
      <x:c r="Z186" s="92"/>
    </x:row>
    <x:row r="187">
      <x:c r="A187" s="92"/>
      <x:c r="B187" s="92"/>
      <x:c r="C187" s="92"/>
      <x:c r="D187" s="92"/>
      <x:c r="E187" s="92"/>
      <x:c r="F187" s="92"/>
      <x:c r="G187" s="92"/>
      <x:c r="H187" s="92"/>
      <x:c r="I187" s="92"/>
      <x:c r="J187" s="92"/>
      <x:c r="K187" s="92"/>
      <x:c r="L187" s="92"/>
      <x:c r="M187" s="92"/>
      <x:c r="N187" s="92"/>
      <x:c r="O187" s="92"/>
      <x:c r="P187" s="92"/>
      <x:c r="Q187" s="92"/>
      <x:c r="R187" s="92"/>
      <x:c r="S187" s="92"/>
      <x:c r="T187" s="92"/>
      <x:c r="U187" s="92"/>
      <x:c r="V187" s="92"/>
      <x:c r="W187" s="92"/>
      <x:c r="X187" s="92"/>
      <x:c r="Y187" s="92"/>
      <x:c r="Z187" s="92"/>
    </x:row>
    <x:row r="188">
      <x:c r="A188" s="92"/>
      <x:c r="B188" s="92"/>
      <x:c r="C188" s="92"/>
      <x:c r="D188" s="92"/>
      <x:c r="E188" s="92"/>
      <x:c r="F188" s="92"/>
      <x:c r="G188" s="92"/>
      <x:c r="H188" s="92"/>
      <x:c r="I188" s="92"/>
      <x:c r="J188" s="92"/>
      <x:c r="K188" s="92"/>
      <x:c r="L188" s="92"/>
      <x:c r="M188" s="92"/>
      <x:c r="N188" s="92"/>
      <x:c r="O188" s="92"/>
      <x:c r="P188" s="92"/>
      <x:c r="Q188" s="92"/>
      <x:c r="R188" s="92"/>
      <x:c r="S188" s="92"/>
      <x:c r="T188" s="92"/>
      <x:c r="U188" s="92"/>
      <x:c r="V188" s="92"/>
      <x:c r="W188" s="92"/>
      <x:c r="X188" s="92"/>
      <x:c r="Y188" s="92"/>
      <x:c r="Z188" s="92"/>
    </x:row>
    <x:row r="189">
      <x:c r="A189" s="92"/>
      <x:c r="B189" s="92"/>
      <x:c r="C189" s="92"/>
      <x:c r="D189" s="92"/>
      <x:c r="E189" s="92"/>
      <x:c r="F189" s="92"/>
      <x:c r="G189" s="92"/>
      <x:c r="H189" s="92"/>
      <x:c r="I189" s="92"/>
      <x:c r="J189" s="92"/>
      <x:c r="K189" s="92"/>
      <x:c r="L189" s="92"/>
      <x:c r="M189" s="92"/>
      <x:c r="N189" s="92"/>
      <x:c r="O189" s="92"/>
      <x:c r="P189" s="92"/>
      <x:c r="Q189" s="92"/>
      <x:c r="R189" s="92"/>
      <x:c r="S189" s="92"/>
      <x:c r="T189" s="92"/>
      <x:c r="U189" s="92"/>
      <x:c r="V189" s="92"/>
      <x:c r="W189" s="92"/>
      <x:c r="X189" s="92"/>
      <x:c r="Y189" s="92"/>
      <x:c r="Z189" s="92"/>
    </x:row>
    <x:row r="190">
      <x:c r="A190" s="92"/>
      <x:c r="B190" s="92"/>
      <x:c r="C190" s="92"/>
      <x:c r="D190" s="92"/>
      <x:c r="E190" s="92"/>
      <x:c r="F190" s="92"/>
      <x:c r="G190" s="92"/>
      <x:c r="H190" s="92"/>
      <x:c r="I190" s="92"/>
      <x:c r="J190" s="92"/>
      <x:c r="K190" s="92"/>
      <x:c r="L190" s="92"/>
      <x:c r="M190" s="92"/>
      <x:c r="N190" s="92"/>
      <x:c r="O190" s="92"/>
      <x:c r="P190" s="92"/>
      <x:c r="Q190" s="92"/>
      <x:c r="R190" s="92"/>
      <x:c r="S190" s="92"/>
      <x:c r="T190" s="92"/>
      <x:c r="U190" s="92"/>
      <x:c r="V190" s="92"/>
      <x:c r="W190" s="92"/>
      <x:c r="X190" s="92"/>
      <x:c r="Y190" s="92"/>
      <x:c r="Z190" s="92"/>
    </x:row>
    <x:row r="191">
      <x:c r="A191" s="92"/>
      <x:c r="B191" s="92"/>
      <x:c r="C191" s="92"/>
      <x:c r="D191" s="92"/>
      <x:c r="E191" s="92"/>
      <x:c r="F191" s="92"/>
      <x:c r="G191" s="92"/>
      <x:c r="H191" s="92"/>
      <x:c r="I191" s="92"/>
      <x:c r="J191" s="92"/>
      <x:c r="K191" s="92"/>
      <x:c r="L191" s="92"/>
      <x:c r="M191" s="92"/>
      <x:c r="N191" s="92"/>
      <x:c r="O191" s="92"/>
      <x:c r="P191" s="92"/>
      <x:c r="Q191" s="92"/>
      <x:c r="R191" s="92"/>
      <x:c r="S191" s="92"/>
      <x:c r="T191" s="92"/>
      <x:c r="U191" s="92"/>
      <x:c r="V191" s="92"/>
      <x:c r="W191" s="92"/>
      <x:c r="X191" s="92"/>
      <x:c r="Y191" s="92"/>
      <x:c r="Z191" s="92"/>
    </x:row>
    <x:row r="192">
      <x:c r="A192" s="92"/>
      <x:c r="B192" s="92"/>
      <x:c r="C192" s="92"/>
      <x:c r="D192" s="92"/>
      <x:c r="E192" s="92"/>
      <x:c r="F192" s="92"/>
      <x:c r="G192" s="92"/>
      <x:c r="H192" s="92"/>
      <x:c r="I192" s="92"/>
      <x:c r="J192" s="92"/>
      <x:c r="K192" s="92"/>
      <x:c r="L192" s="92"/>
      <x:c r="M192" s="92"/>
      <x:c r="N192" s="92"/>
      <x:c r="O192" s="92"/>
      <x:c r="P192" s="92"/>
      <x:c r="Q192" s="92"/>
      <x:c r="R192" s="92"/>
      <x:c r="S192" s="92"/>
      <x:c r="T192" s="92"/>
      <x:c r="U192" s="92"/>
      <x:c r="V192" s="92"/>
      <x:c r="W192" s="92"/>
      <x:c r="X192" s="92"/>
      <x:c r="Y192" s="92"/>
      <x:c r="Z192" s="92"/>
    </x:row>
    <x:row r="193">
      <x:c r="A193" s="92"/>
      <x:c r="B193" s="92"/>
      <x:c r="C193" s="92"/>
      <x:c r="D193" s="92"/>
      <x:c r="E193" s="92"/>
      <x:c r="F193" s="92"/>
      <x:c r="G193" s="92"/>
      <x:c r="H193" s="92"/>
      <x:c r="I193" s="92"/>
      <x:c r="J193" s="92"/>
      <x:c r="K193" s="92"/>
      <x:c r="L193" s="92"/>
      <x:c r="M193" s="92"/>
      <x:c r="N193" s="92"/>
      <x:c r="O193" s="92"/>
      <x:c r="P193" s="92"/>
      <x:c r="Q193" s="92"/>
      <x:c r="R193" s="92"/>
      <x:c r="S193" s="92"/>
      <x:c r="T193" s="92"/>
      <x:c r="U193" s="92"/>
      <x:c r="V193" s="92"/>
      <x:c r="W193" s="92"/>
      <x:c r="X193" s="92"/>
      <x:c r="Y193" s="92"/>
      <x:c r="Z193" s="92"/>
    </x:row>
    <x:row r="194">
      <x:c r="A194" s="92"/>
      <x:c r="B194" s="92"/>
      <x:c r="C194" s="92"/>
      <x:c r="D194" s="92"/>
      <x:c r="E194" s="92"/>
      <x:c r="F194" s="92"/>
      <x:c r="G194" s="92"/>
      <x:c r="H194" s="92"/>
      <x:c r="I194" s="92"/>
      <x:c r="J194" s="92"/>
      <x:c r="K194" s="92"/>
      <x:c r="L194" s="92"/>
      <x:c r="M194" s="92"/>
      <x:c r="N194" s="92"/>
      <x:c r="O194" s="92"/>
      <x:c r="P194" s="92"/>
      <x:c r="Q194" s="92"/>
      <x:c r="R194" s="92"/>
      <x:c r="S194" s="92"/>
      <x:c r="T194" s="92"/>
      <x:c r="U194" s="92"/>
      <x:c r="V194" s="92"/>
      <x:c r="W194" s="92"/>
      <x:c r="X194" s="92"/>
      <x:c r="Y194" s="92"/>
      <x:c r="Z194" s="92"/>
    </x:row>
    <x:row r="195">
      <x:c r="A195" s="92"/>
      <x:c r="B195" s="92"/>
      <x:c r="C195" s="92"/>
      <x:c r="D195" s="92"/>
      <x:c r="E195" s="92"/>
      <x:c r="F195" s="92"/>
      <x:c r="G195" s="92"/>
      <x:c r="H195" s="92"/>
      <x:c r="I195" s="92"/>
      <x:c r="J195" s="92"/>
      <x:c r="K195" s="92"/>
      <x:c r="L195" s="92"/>
      <x:c r="M195" s="92"/>
      <x:c r="N195" s="92"/>
      <x:c r="O195" s="92"/>
      <x:c r="P195" s="92"/>
      <x:c r="Q195" s="92"/>
      <x:c r="R195" s="92"/>
      <x:c r="S195" s="92"/>
      <x:c r="T195" s="92"/>
      <x:c r="U195" s="92"/>
      <x:c r="V195" s="92"/>
      <x:c r="W195" s="92"/>
      <x:c r="X195" s="92"/>
      <x:c r="Y195" s="92"/>
      <x:c r="Z195" s="92"/>
    </x:row>
    <x:row r="196">
      <x:c r="A196" s="92"/>
      <x:c r="B196" s="92"/>
      <x:c r="C196" s="92"/>
      <x:c r="D196" s="92"/>
      <x:c r="E196" s="92"/>
      <x:c r="F196" s="92"/>
      <x:c r="G196" s="92"/>
      <x:c r="H196" s="92"/>
      <x:c r="I196" s="92"/>
      <x:c r="J196" s="92"/>
      <x:c r="K196" s="92"/>
      <x:c r="L196" s="92"/>
      <x:c r="M196" s="92"/>
      <x:c r="N196" s="92"/>
      <x:c r="O196" s="92"/>
      <x:c r="P196" s="92"/>
      <x:c r="Q196" s="92"/>
      <x:c r="R196" s="92"/>
      <x:c r="S196" s="92"/>
      <x:c r="T196" s="92"/>
      <x:c r="U196" s="92"/>
      <x:c r="V196" s="92"/>
      <x:c r="W196" s="92"/>
      <x:c r="X196" s="92"/>
      <x:c r="Y196" s="92"/>
      <x:c r="Z196" s="92"/>
    </x:row>
    <x:row r="197">
      <x:c r="A197" s="92"/>
      <x:c r="B197" s="92"/>
      <x:c r="C197" s="92"/>
      <x:c r="D197" s="92"/>
      <x:c r="E197" s="92"/>
      <x:c r="F197" s="92"/>
      <x:c r="G197" s="92"/>
      <x:c r="H197" s="92"/>
      <x:c r="I197" s="92"/>
      <x:c r="J197" s="92"/>
      <x:c r="K197" s="92"/>
      <x:c r="L197" s="92"/>
      <x:c r="M197" s="92"/>
      <x:c r="N197" s="92"/>
      <x:c r="O197" s="92"/>
      <x:c r="P197" s="92"/>
      <x:c r="Q197" s="92"/>
      <x:c r="R197" s="92"/>
      <x:c r="S197" s="92"/>
      <x:c r="T197" s="92"/>
      <x:c r="U197" s="92"/>
      <x:c r="V197" s="92"/>
      <x:c r="W197" s="92"/>
      <x:c r="X197" s="92"/>
      <x:c r="Y197" s="92"/>
      <x:c r="Z197" s="92"/>
    </x:row>
    <x:row r="198">
      <x:c r="A198" s="92"/>
      <x:c r="B198" s="92"/>
      <x:c r="C198" s="92"/>
      <x:c r="D198" s="92"/>
      <x:c r="E198" s="92"/>
      <x:c r="F198" s="92"/>
      <x:c r="G198" s="92"/>
      <x:c r="H198" s="92"/>
      <x:c r="I198" s="92"/>
      <x:c r="J198" s="92"/>
      <x:c r="K198" s="92"/>
      <x:c r="L198" s="92"/>
      <x:c r="M198" s="92"/>
      <x:c r="N198" s="92"/>
      <x:c r="O198" s="92"/>
      <x:c r="P198" s="92"/>
      <x:c r="Q198" s="92"/>
      <x:c r="R198" s="92"/>
      <x:c r="S198" s="92"/>
      <x:c r="T198" s="92"/>
      <x:c r="U198" s="92"/>
      <x:c r="V198" s="92"/>
      <x:c r="W198" s="92"/>
      <x:c r="X198" s="92"/>
      <x:c r="Y198" s="92"/>
      <x:c r="Z198" s="92"/>
    </x:row>
    <x:row r="199">
      <x:c r="A199" s="92"/>
      <x:c r="B199" s="92"/>
      <x:c r="C199" s="92"/>
      <x:c r="D199" s="92"/>
      <x:c r="E199" s="92"/>
      <x:c r="F199" s="92"/>
      <x:c r="G199" s="92"/>
      <x:c r="H199" s="92"/>
      <x:c r="I199" s="92"/>
      <x:c r="J199" s="92"/>
      <x:c r="K199" s="92"/>
      <x:c r="L199" s="92"/>
      <x:c r="M199" s="92"/>
      <x:c r="N199" s="92"/>
      <x:c r="O199" s="92"/>
      <x:c r="P199" s="92"/>
      <x:c r="Q199" s="92"/>
      <x:c r="R199" s="92"/>
      <x:c r="S199" s="92"/>
      <x:c r="T199" s="92"/>
      <x:c r="U199" s="92"/>
      <x:c r="V199" s="92"/>
      <x:c r="W199" s="92"/>
      <x:c r="X199" s="92"/>
      <x:c r="Y199" s="92"/>
      <x:c r="Z199" s="92"/>
    </x:row>
    <x:row r="200">
      <x:c r="A200" s="92"/>
      <x:c r="B200" s="92"/>
      <x:c r="C200" s="92"/>
      <x:c r="D200" s="92"/>
      <x:c r="E200" s="92"/>
      <x:c r="F200" s="92"/>
      <x:c r="G200" s="92"/>
      <x:c r="H200" s="92"/>
      <x:c r="I200" s="92"/>
      <x:c r="J200" s="92"/>
      <x:c r="K200" s="92"/>
      <x:c r="L200" s="92"/>
      <x:c r="M200" s="92"/>
      <x:c r="N200" s="92"/>
      <x:c r="O200" s="92"/>
      <x:c r="P200" s="92"/>
      <x:c r="Q200" s="92"/>
      <x:c r="R200" s="92"/>
      <x:c r="S200" s="92"/>
      <x:c r="T200" s="92"/>
      <x:c r="U200" s="92"/>
      <x:c r="V200" s="92"/>
      <x:c r="W200" s="92"/>
      <x:c r="X200" s="92"/>
      <x:c r="Y200" s="92"/>
      <x:c r="Z200" s="92"/>
    </x:row>
  </x:sheetData>
  <x:pageMargins left="0.7" right="0.7" top="0.75" bottom="0.75" header="0.3" footer="0.3"/>
  <x:tableParts count="1">
    <x:tablePart xmlns:r="http://schemas.openxmlformats.org/officeDocument/2006/relationships" r:id="R30de814bc6d64168"/>
  </x:tableParts>
</x:worksheet>
</file>

<file path=xl/worksheets/sheet5.xml><?xml version="1.0" encoding="utf-8"?>
<x:worksheet xmlns:x="http://schemas.openxmlformats.org/spreadsheetml/2006/main">
  <x:sheetFormatPr defaultRowHeight="15"/>
  <x:cols>
    <x:col min="1" max="1" width="14" hidden="0" customWidth="1"/>
    <x:col min="2" max="2" width="14" hidden="0" customWidth="1"/>
    <x:col min="3" max="3" width="18" hidden="0" customWidth="1"/>
    <x:col min="4" max="4" width="14" hidden="0" customWidth="1"/>
    <x:col min="5" max="5" width="14" hidden="0" customWidth="1"/>
    <x:col min="6" max="6" width="26" hidden="0" customWidth="1"/>
    <x:col min="7" max="7" width="42" hidden="0" customWidth="1"/>
    <x:col min="8" max="8" width="42" hidden="0" customWidth="1"/>
    <x:col min="9" max="9" width="42" hidden="0" customWidth="1"/>
    <x:col min="10" max="10" width="42" hidden="0" customWidth="1"/>
    <x:col min="11" max="11" width="30" hidden="0" customWidth="1"/>
    <x:col min="12" max="12" width="34" hidden="0" customWidth="1"/>
    <x:col min="13" max="13" width="18" hidden="0" customWidth="1"/>
    <x:col min="14" max="14" width="18" hidden="0" customWidth="1"/>
    <x:col min="15" max="15" width="18" hidden="0" customWidth="1"/>
    <x:col min="16" max="16" width="34" hidden="0" customWidth="1"/>
  </x:cols>
  <x:sheetData>
    <x:row r="1">
      <x:c r="A1" s="163" t="str">
        <x:v>Defect ID</x:v>
      </x:c>
      <x:c r="B1" s="163" t="str">
        <x:v>Date Found</x:v>
      </x:c>
      <x:c r="C1" s="163" t="str">
        <x:v>Test Case ID</x:v>
      </x:c>
      <x:c r="D1" s="163" t="str">
        <x:v>Severity</x:v>
      </x:c>
      <x:c r="E1" s="163" t="str">
        <x:v>Status</x:v>
      </x:c>
      <x:c r="F1" s="163" t="str">
        <x:v>Component</x:v>
      </x:c>
      <x:c r="G1" s="163" t="str">
        <x:v>Summary</x:v>
      </x:c>
      <x:c r="H1" s="163" t="str">
        <x:v>Steps to Reproduce</x:v>
      </x:c>
      <x:c r="I1" s="163" t="str">
        <x:v>Expected Result</x:v>
      </x:c>
      <x:c r="J1" s="163" t="str">
        <x:v>Actual Result</x:v>
      </x:c>
      <x:c r="K1" s="163" t="str">
        <x:v>Session ID / Request IDs</x:v>
      </x:c>
      <x:c r="L1" s="163" t="str">
        <x:v>Environment</x:v>
      </x:c>
      <x:c r="M1" s="163" t="str">
        <x:v>Owner</x:v>
      </x:c>
      <x:c r="N1" s="163" t="str">
        <x:v>Target Fix Version</x:v>
      </x:c>
      <x:c r="O1" s="163" t="str">
        <x:v>Retest Result</x:v>
      </x:c>
      <x:c r="P1" s="163" t="str">
        <x:v>Evidence / Link</x:v>
      </x:c>
      <x:c r="Q1" s="92"/>
      <x:c r="R1" s="92"/>
      <x:c r="S1" s="92"/>
      <x:c r="T1" s="92"/>
      <x:c r="U1" s="92"/>
      <x:c r="V1" s="92"/>
      <x:c r="W1" s="92"/>
      <x:c r="X1" s="92"/>
      <x:c r="Y1" s="92"/>
      <x:c r="Z1" s="92"/>
    </x:row>
    <x:row r="2">
      <x:c r="A2" s="103"/>
      <x:c r="B2" s="164"/>
      <x:c r="C2" s="104"/>
      <x:c r="D2" s="104"/>
      <x:c r="E2" s="104"/>
      <x:c r="F2" s="104"/>
      <x:c r="G2" s="104"/>
      <x:c r="H2" s="104"/>
      <x:c r="I2" s="104"/>
      <x:c r="J2" s="104"/>
      <x:c r="K2" s="104"/>
      <x:c r="L2" s="104"/>
      <x:c r="M2" s="104"/>
      <x:c r="N2" s="104"/>
      <x:c r="O2" s="104"/>
      <x:c r="P2" s="105"/>
      <x:c r="Q2" s="92"/>
      <x:c r="R2" s="92"/>
      <x:c r="S2" s="92"/>
      <x:c r="T2" s="92"/>
      <x:c r="U2" s="92"/>
      <x:c r="V2" s="92"/>
      <x:c r="W2" s="92"/>
      <x:c r="X2" s="92"/>
      <x:c r="Y2" s="92"/>
      <x:c r="Z2" s="92"/>
    </x:row>
    <x:row r="3">
      <x:c r="A3" s="106"/>
      <x:c r="B3" s="165"/>
      <x:c r="C3" s="107"/>
      <x:c r="D3" s="107"/>
      <x:c r="E3" s="107"/>
      <x:c r="F3" s="107"/>
      <x:c r="G3" s="107"/>
      <x:c r="H3" s="107"/>
      <x:c r="I3" s="107"/>
      <x:c r="J3" s="107"/>
      <x:c r="K3" s="107"/>
      <x:c r="L3" s="107"/>
      <x:c r="M3" s="107"/>
      <x:c r="N3" s="107"/>
      <x:c r="O3" s="107"/>
      <x:c r="P3" s="108"/>
      <x:c r="Q3" s="92"/>
      <x:c r="R3" s="92"/>
      <x:c r="S3" s="92"/>
      <x:c r="T3" s="92"/>
      <x:c r="U3" s="92"/>
      <x:c r="V3" s="92"/>
      <x:c r="W3" s="92"/>
      <x:c r="X3" s="92"/>
      <x:c r="Y3" s="92"/>
      <x:c r="Z3" s="92"/>
    </x:row>
    <x:row r="4">
      <x:c r="A4" s="106"/>
      <x:c r="B4" s="165"/>
      <x:c r="C4" s="107"/>
      <x:c r="D4" s="107"/>
      <x:c r="E4" s="107"/>
      <x:c r="F4" s="107"/>
      <x:c r="G4" s="107"/>
      <x:c r="H4" s="107"/>
      <x:c r="I4" s="107"/>
      <x:c r="J4" s="107"/>
      <x:c r="K4" s="107"/>
      <x:c r="L4" s="107"/>
      <x:c r="M4" s="107"/>
      <x:c r="N4" s="107"/>
      <x:c r="O4" s="107"/>
      <x:c r="P4" s="108"/>
      <x:c r="Q4" s="92"/>
      <x:c r="R4" s="92"/>
      <x:c r="S4" s="92"/>
      <x:c r="T4" s="92"/>
      <x:c r="U4" s="92"/>
      <x:c r="V4" s="92"/>
      <x:c r="W4" s="92"/>
      <x:c r="X4" s="92"/>
      <x:c r="Y4" s="92"/>
      <x:c r="Z4" s="92"/>
    </x:row>
    <x:row r="5">
      <x:c r="A5" s="106"/>
      <x:c r="B5" s="165"/>
      <x:c r="C5" s="107"/>
      <x:c r="D5" s="107"/>
      <x:c r="E5" s="107"/>
      <x:c r="F5" s="107"/>
      <x:c r="G5" s="107"/>
      <x:c r="H5" s="107"/>
      <x:c r="I5" s="107"/>
      <x:c r="J5" s="107"/>
      <x:c r="K5" s="107"/>
      <x:c r="L5" s="107"/>
      <x:c r="M5" s="107"/>
      <x:c r="N5" s="107"/>
      <x:c r="O5" s="107"/>
      <x:c r="P5" s="108"/>
      <x:c r="Q5" s="92"/>
      <x:c r="R5" s="92"/>
      <x:c r="S5" s="92"/>
      <x:c r="T5" s="92"/>
      <x:c r="U5" s="92"/>
      <x:c r="V5" s="92"/>
      <x:c r="W5" s="92"/>
      <x:c r="X5" s="92"/>
      <x:c r="Y5" s="92"/>
      <x:c r="Z5" s="92"/>
    </x:row>
    <x:row r="6">
      <x:c r="A6" s="106"/>
      <x:c r="B6" s="165"/>
      <x:c r="C6" s="107"/>
      <x:c r="D6" s="107"/>
      <x:c r="E6" s="107"/>
      <x:c r="F6" s="107"/>
      <x:c r="G6" s="107"/>
      <x:c r="H6" s="107"/>
      <x:c r="I6" s="107"/>
      <x:c r="J6" s="107"/>
      <x:c r="K6" s="107"/>
      <x:c r="L6" s="107"/>
      <x:c r="M6" s="107"/>
      <x:c r="N6" s="107"/>
      <x:c r="O6" s="107"/>
      <x:c r="P6" s="108"/>
      <x:c r="Q6" s="92"/>
      <x:c r="R6" s="92"/>
      <x:c r="S6" s="92"/>
      <x:c r="T6" s="92"/>
      <x:c r="U6" s="92"/>
      <x:c r="V6" s="92"/>
      <x:c r="W6" s="92"/>
      <x:c r="X6" s="92"/>
      <x:c r="Y6" s="92"/>
      <x:c r="Z6" s="92"/>
    </x:row>
    <x:row r="7">
      <x:c r="A7" s="106"/>
      <x:c r="B7" s="165"/>
      <x:c r="C7" s="107"/>
      <x:c r="D7" s="107"/>
      <x:c r="E7" s="107"/>
      <x:c r="F7" s="107"/>
      <x:c r="G7" s="107"/>
      <x:c r="H7" s="107"/>
      <x:c r="I7" s="107"/>
      <x:c r="J7" s="107"/>
      <x:c r="K7" s="107"/>
      <x:c r="L7" s="107"/>
      <x:c r="M7" s="107"/>
      <x:c r="N7" s="107"/>
      <x:c r="O7" s="107"/>
      <x:c r="P7" s="108"/>
      <x:c r="Q7" s="92"/>
      <x:c r="R7" s="92"/>
      <x:c r="S7" s="92"/>
      <x:c r="T7" s="92"/>
      <x:c r="U7" s="92"/>
      <x:c r="V7" s="92"/>
      <x:c r="W7" s="92"/>
      <x:c r="X7" s="92"/>
      <x:c r="Y7" s="92"/>
      <x:c r="Z7" s="92"/>
    </x:row>
    <x:row r="8">
      <x:c r="A8" s="106"/>
      <x:c r="B8" s="165"/>
      <x:c r="C8" s="107"/>
      <x:c r="D8" s="107"/>
      <x:c r="E8" s="107"/>
      <x:c r="F8" s="107"/>
      <x:c r="G8" s="107"/>
      <x:c r="H8" s="107"/>
      <x:c r="I8" s="107"/>
      <x:c r="J8" s="107"/>
      <x:c r="K8" s="107"/>
      <x:c r="L8" s="107"/>
      <x:c r="M8" s="107"/>
      <x:c r="N8" s="107"/>
      <x:c r="O8" s="107"/>
      <x:c r="P8" s="108"/>
      <x:c r="Q8" s="92"/>
      <x:c r="R8" s="92"/>
      <x:c r="S8" s="92"/>
      <x:c r="T8" s="92"/>
      <x:c r="U8" s="92"/>
      <x:c r="V8" s="92"/>
      <x:c r="W8" s="92"/>
      <x:c r="X8" s="92"/>
      <x:c r="Y8" s="92"/>
      <x:c r="Z8" s="92"/>
    </x:row>
    <x:row r="9">
      <x:c r="A9" s="106"/>
      <x:c r="B9" s="165"/>
      <x:c r="C9" s="107"/>
      <x:c r="D9" s="107"/>
      <x:c r="E9" s="107"/>
      <x:c r="F9" s="107"/>
      <x:c r="G9" s="107"/>
      <x:c r="H9" s="107"/>
      <x:c r="I9" s="107"/>
      <x:c r="J9" s="107"/>
      <x:c r="K9" s="107"/>
      <x:c r="L9" s="107"/>
      <x:c r="M9" s="107"/>
      <x:c r="N9" s="107"/>
      <x:c r="O9" s="107"/>
      <x:c r="P9" s="108"/>
      <x:c r="Q9" s="92"/>
      <x:c r="R9" s="92"/>
      <x:c r="S9" s="92"/>
      <x:c r="T9" s="92"/>
      <x:c r="U9" s="92"/>
      <x:c r="V9" s="92"/>
      <x:c r="W9" s="92"/>
      <x:c r="X9" s="92"/>
      <x:c r="Y9" s="92"/>
      <x:c r="Z9" s="92"/>
    </x:row>
    <x:row r="10">
      <x:c r="A10" s="106"/>
      <x:c r="B10" s="165"/>
      <x:c r="C10" s="107"/>
      <x:c r="D10" s="107"/>
      <x:c r="E10" s="107"/>
      <x:c r="F10" s="107"/>
      <x:c r="G10" s="107"/>
      <x:c r="H10" s="107"/>
      <x:c r="I10" s="107"/>
      <x:c r="J10" s="107"/>
      <x:c r="K10" s="107"/>
      <x:c r="L10" s="107"/>
      <x:c r="M10" s="107"/>
      <x:c r="N10" s="107"/>
      <x:c r="O10" s="107"/>
      <x:c r="P10" s="108"/>
      <x:c r="Q10" s="92"/>
      <x:c r="R10" s="92"/>
      <x:c r="S10" s="92"/>
      <x:c r="T10" s="92"/>
      <x:c r="U10" s="92"/>
      <x:c r="V10" s="92"/>
      <x:c r="W10" s="92"/>
      <x:c r="X10" s="92"/>
      <x:c r="Y10" s="92"/>
      <x:c r="Z10" s="92"/>
    </x:row>
    <x:row r="11">
      <x:c r="A11" s="106"/>
      <x:c r="B11" s="165"/>
      <x:c r="C11" s="107"/>
      <x:c r="D11" s="107"/>
      <x:c r="E11" s="107"/>
      <x:c r="F11" s="107"/>
      <x:c r="G11" s="107"/>
      <x:c r="H11" s="107"/>
      <x:c r="I11" s="107"/>
      <x:c r="J11" s="107"/>
      <x:c r="K11" s="107"/>
      <x:c r="L11" s="107"/>
      <x:c r="M11" s="107"/>
      <x:c r="N11" s="107"/>
      <x:c r="O11" s="107"/>
      <x:c r="P11" s="108"/>
      <x:c r="Q11" s="92"/>
      <x:c r="R11" s="92"/>
      <x:c r="S11" s="92"/>
      <x:c r="T11" s="92"/>
      <x:c r="U11" s="92"/>
      <x:c r="V11" s="92"/>
      <x:c r="W11" s="92"/>
      <x:c r="X11" s="92"/>
      <x:c r="Y11" s="92"/>
      <x:c r="Z11" s="92"/>
    </x:row>
    <x:row r="12">
      <x:c r="A12" s="106"/>
      <x:c r="B12" s="165"/>
      <x:c r="C12" s="107"/>
      <x:c r="D12" s="107"/>
      <x:c r="E12" s="107"/>
      <x:c r="F12" s="107"/>
      <x:c r="G12" s="107"/>
      <x:c r="H12" s="107"/>
      <x:c r="I12" s="107"/>
      <x:c r="J12" s="107"/>
      <x:c r="K12" s="107"/>
      <x:c r="L12" s="107"/>
      <x:c r="M12" s="107"/>
      <x:c r="N12" s="107"/>
      <x:c r="O12" s="107"/>
      <x:c r="P12" s="108"/>
      <x:c r="Q12" s="92"/>
      <x:c r="R12" s="92"/>
      <x:c r="S12" s="92"/>
      <x:c r="T12" s="92"/>
      <x:c r="U12" s="92"/>
      <x:c r="V12" s="92"/>
      <x:c r="W12" s="92"/>
      <x:c r="X12" s="92"/>
      <x:c r="Y12" s="92"/>
      <x:c r="Z12" s="92"/>
    </x:row>
    <x:row r="13">
      <x:c r="A13" s="106"/>
      <x:c r="B13" s="165"/>
      <x:c r="C13" s="107"/>
      <x:c r="D13" s="107"/>
      <x:c r="E13" s="107"/>
      <x:c r="F13" s="107"/>
      <x:c r="G13" s="107"/>
      <x:c r="H13" s="107"/>
      <x:c r="I13" s="107"/>
      <x:c r="J13" s="107"/>
      <x:c r="K13" s="107"/>
      <x:c r="L13" s="107"/>
      <x:c r="M13" s="107"/>
      <x:c r="N13" s="107"/>
      <x:c r="O13" s="107"/>
      <x:c r="P13" s="108"/>
      <x:c r="Q13" s="92"/>
      <x:c r="R13" s="92"/>
      <x:c r="S13" s="92"/>
      <x:c r="T13" s="92"/>
      <x:c r="U13" s="92"/>
      <x:c r="V13" s="92"/>
      <x:c r="W13" s="92"/>
      <x:c r="X13" s="92"/>
      <x:c r="Y13" s="92"/>
      <x:c r="Z13" s="92"/>
    </x:row>
    <x:row r="14">
      <x:c r="A14" s="106"/>
      <x:c r="B14" s="165"/>
      <x:c r="C14" s="107"/>
      <x:c r="D14" s="107"/>
      <x:c r="E14" s="107"/>
      <x:c r="F14" s="107"/>
      <x:c r="G14" s="107"/>
      <x:c r="H14" s="107"/>
      <x:c r="I14" s="107"/>
      <x:c r="J14" s="107"/>
      <x:c r="K14" s="107"/>
      <x:c r="L14" s="107"/>
      <x:c r="M14" s="107"/>
      <x:c r="N14" s="107"/>
      <x:c r="O14" s="107"/>
      <x:c r="P14" s="108"/>
      <x:c r="Q14" s="92"/>
      <x:c r="R14" s="92"/>
      <x:c r="S14" s="92"/>
      <x:c r="T14" s="92"/>
      <x:c r="U14" s="92"/>
      <x:c r="V14" s="92"/>
      <x:c r="W14" s="92"/>
      <x:c r="X14" s="92"/>
      <x:c r="Y14" s="92"/>
      <x:c r="Z14" s="92"/>
    </x:row>
    <x:row r="15">
      <x:c r="A15" s="106"/>
      <x:c r="B15" s="165"/>
      <x:c r="C15" s="107"/>
      <x:c r="D15" s="107"/>
      <x:c r="E15" s="107"/>
      <x:c r="F15" s="107"/>
      <x:c r="G15" s="107"/>
      <x:c r="H15" s="107"/>
      <x:c r="I15" s="107"/>
      <x:c r="J15" s="107"/>
      <x:c r="K15" s="107"/>
      <x:c r="L15" s="107"/>
      <x:c r="M15" s="107"/>
      <x:c r="N15" s="107"/>
      <x:c r="O15" s="107"/>
      <x:c r="P15" s="108"/>
      <x:c r="Q15" s="92"/>
      <x:c r="R15" s="92"/>
      <x:c r="S15" s="92"/>
      <x:c r="T15" s="92"/>
      <x:c r="U15" s="92"/>
      <x:c r="V15" s="92"/>
      <x:c r="W15" s="92"/>
      <x:c r="X15" s="92"/>
      <x:c r="Y15" s="92"/>
      <x:c r="Z15" s="92"/>
    </x:row>
    <x:row r="16">
      <x:c r="A16" s="106"/>
      <x:c r="B16" s="165"/>
      <x:c r="C16" s="107"/>
      <x:c r="D16" s="107"/>
      <x:c r="E16" s="107"/>
      <x:c r="F16" s="107"/>
      <x:c r="G16" s="107"/>
      <x:c r="H16" s="107"/>
      <x:c r="I16" s="107"/>
      <x:c r="J16" s="107"/>
      <x:c r="K16" s="107"/>
      <x:c r="L16" s="107"/>
      <x:c r="M16" s="107"/>
      <x:c r="N16" s="107"/>
      <x:c r="O16" s="107"/>
      <x:c r="P16" s="108"/>
      <x:c r="Q16" s="92"/>
      <x:c r="R16" s="92"/>
      <x:c r="S16" s="92"/>
      <x:c r="T16" s="92"/>
      <x:c r="U16" s="92"/>
      <x:c r="V16" s="92"/>
      <x:c r="W16" s="92"/>
      <x:c r="X16" s="92"/>
      <x:c r="Y16" s="92"/>
      <x:c r="Z16" s="92"/>
    </x:row>
    <x:row r="17">
      <x:c r="A17" s="106"/>
      <x:c r="B17" s="165"/>
      <x:c r="C17" s="107"/>
      <x:c r="D17" s="107"/>
      <x:c r="E17" s="107"/>
      <x:c r="F17" s="107"/>
      <x:c r="G17" s="107"/>
      <x:c r="H17" s="107"/>
      <x:c r="I17" s="107"/>
      <x:c r="J17" s="107"/>
      <x:c r="K17" s="107"/>
      <x:c r="L17" s="107"/>
      <x:c r="M17" s="107"/>
      <x:c r="N17" s="107"/>
      <x:c r="O17" s="107"/>
      <x:c r="P17" s="108"/>
      <x:c r="Q17" s="92"/>
      <x:c r="R17" s="92"/>
      <x:c r="S17" s="92"/>
      <x:c r="T17" s="92"/>
      <x:c r="U17" s="92"/>
      <x:c r="V17" s="92"/>
      <x:c r="W17" s="92"/>
      <x:c r="X17" s="92"/>
      <x:c r="Y17" s="92"/>
      <x:c r="Z17" s="92"/>
    </x:row>
    <x:row r="18">
      <x:c r="A18" s="106"/>
      <x:c r="B18" s="165"/>
      <x:c r="C18" s="107"/>
      <x:c r="D18" s="107"/>
      <x:c r="E18" s="107"/>
      <x:c r="F18" s="107"/>
      <x:c r="G18" s="107"/>
      <x:c r="H18" s="107"/>
      <x:c r="I18" s="107"/>
      <x:c r="J18" s="107"/>
      <x:c r="K18" s="107"/>
      <x:c r="L18" s="107"/>
      <x:c r="M18" s="107"/>
      <x:c r="N18" s="107"/>
      <x:c r="O18" s="107"/>
      <x:c r="P18" s="108"/>
      <x:c r="Q18" s="92"/>
      <x:c r="R18" s="92"/>
      <x:c r="S18" s="92"/>
      <x:c r="T18" s="92"/>
      <x:c r="U18" s="92"/>
      <x:c r="V18" s="92"/>
      <x:c r="W18" s="92"/>
      <x:c r="X18" s="92"/>
      <x:c r="Y18" s="92"/>
      <x:c r="Z18" s="92"/>
    </x:row>
    <x:row r="19">
      <x:c r="A19" s="106"/>
      <x:c r="B19" s="165"/>
      <x:c r="C19" s="107"/>
      <x:c r="D19" s="107"/>
      <x:c r="E19" s="107"/>
      <x:c r="F19" s="107"/>
      <x:c r="G19" s="107"/>
      <x:c r="H19" s="107"/>
      <x:c r="I19" s="107"/>
      <x:c r="J19" s="107"/>
      <x:c r="K19" s="107"/>
      <x:c r="L19" s="107"/>
      <x:c r="M19" s="107"/>
      <x:c r="N19" s="107"/>
      <x:c r="O19" s="107"/>
      <x:c r="P19" s="108"/>
      <x:c r="Q19" s="92"/>
      <x:c r="R19" s="92"/>
      <x:c r="S19" s="92"/>
      <x:c r="T19" s="92"/>
      <x:c r="U19" s="92"/>
      <x:c r="V19" s="92"/>
      <x:c r="W19" s="92"/>
      <x:c r="X19" s="92"/>
      <x:c r="Y19" s="92"/>
      <x:c r="Z19" s="92"/>
    </x:row>
    <x:row r="20">
      <x:c r="A20" s="106"/>
      <x:c r="B20" s="165"/>
      <x:c r="C20" s="107"/>
      <x:c r="D20" s="107"/>
      <x:c r="E20" s="107"/>
      <x:c r="F20" s="107"/>
      <x:c r="G20" s="107"/>
      <x:c r="H20" s="107"/>
      <x:c r="I20" s="107"/>
      <x:c r="J20" s="107"/>
      <x:c r="K20" s="107"/>
      <x:c r="L20" s="107"/>
      <x:c r="M20" s="107"/>
      <x:c r="N20" s="107"/>
      <x:c r="O20" s="107"/>
      <x:c r="P20" s="108"/>
      <x:c r="Q20" s="92"/>
      <x:c r="R20" s="92"/>
      <x:c r="S20" s="92"/>
      <x:c r="T20" s="92"/>
      <x:c r="U20" s="92"/>
      <x:c r="V20" s="92"/>
      <x:c r="W20" s="92"/>
      <x:c r="X20" s="92"/>
      <x:c r="Y20" s="92"/>
      <x:c r="Z20" s="92"/>
    </x:row>
    <x:row r="21">
      <x:c r="A21" s="106"/>
      <x:c r="B21" s="165"/>
      <x:c r="C21" s="107"/>
      <x:c r="D21" s="107"/>
      <x:c r="E21" s="107"/>
      <x:c r="F21" s="107"/>
      <x:c r="G21" s="107"/>
      <x:c r="H21" s="107"/>
      <x:c r="I21" s="107"/>
      <x:c r="J21" s="107"/>
      <x:c r="K21" s="107"/>
      <x:c r="L21" s="107"/>
      <x:c r="M21" s="107"/>
      <x:c r="N21" s="107"/>
      <x:c r="O21" s="107"/>
      <x:c r="P21" s="108"/>
      <x:c r="Q21" s="92"/>
      <x:c r="R21" s="92"/>
      <x:c r="S21" s="92"/>
      <x:c r="T21" s="92"/>
      <x:c r="U21" s="92"/>
      <x:c r="V21" s="92"/>
      <x:c r="W21" s="92"/>
      <x:c r="X21" s="92"/>
      <x:c r="Y21" s="92"/>
      <x:c r="Z21" s="92"/>
    </x:row>
    <x:row r="22">
      <x:c r="A22" s="106"/>
      <x:c r="B22" s="165"/>
      <x:c r="C22" s="107"/>
      <x:c r="D22" s="107"/>
      <x:c r="E22" s="107"/>
      <x:c r="F22" s="107"/>
      <x:c r="G22" s="107"/>
      <x:c r="H22" s="107"/>
      <x:c r="I22" s="107"/>
      <x:c r="J22" s="107"/>
      <x:c r="K22" s="107"/>
      <x:c r="L22" s="107"/>
      <x:c r="M22" s="107"/>
      <x:c r="N22" s="107"/>
      <x:c r="O22" s="107"/>
      <x:c r="P22" s="108"/>
      <x:c r="Q22" s="92"/>
      <x:c r="R22" s="92"/>
      <x:c r="S22" s="92"/>
      <x:c r="T22" s="92"/>
      <x:c r="U22" s="92"/>
      <x:c r="V22" s="92"/>
      <x:c r="W22" s="92"/>
      <x:c r="X22" s="92"/>
      <x:c r="Y22" s="92"/>
      <x:c r="Z22" s="92"/>
    </x:row>
    <x:row r="23">
      <x:c r="A23" s="106"/>
      <x:c r="B23" s="165"/>
      <x:c r="C23" s="107"/>
      <x:c r="D23" s="107"/>
      <x:c r="E23" s="107"/>
      <x:c r="F23" s="107"/>
      <x:c r="G23" s="107"/>
      <x:c r="H23" s="107"/>
      <x:c r="I23" s="107"/>
      <x:c r="J23" s="107"/>
      <x:c r="K23" s="107"/>
      <x:c r="L23" s="107"/>
      <x:c r="M23" s="107"/>
      <x:c r="N23" s="107"/>
      <x:c r="O23" s="107"/>
      <x:c r="P23" s="108"/>
      <x:c r="Q23" s="92"/>
      <x:c r="R23" s="92"/>
      <x:c r="S23" s="92"/>
      <x:c r="T23" s="92"/>
      <x:c r="U23" s="92"/>
      <x:c r="V23" s="92"/>
      <x:c r="W23" s="92"/>
      <x:c r="X23" s="92"/>
      <x:c r="Y23" s="92"/>
      <x:c r="Z23" s="92"/>
    </x:row>
    <x:row r="24">
      <x:c r="A24" s="106"/>
      <x:c r="B24" s="165"/>
      <x:c r="C24" s="107"/>
      <x:c r="D24" s="107"/>
      <x:c r="E24" s="107"/>
      <x:c r="F24" s="107"/>
      <x:c r="G24" s="107"/>
      <x:c r="H24" s="107"/>
      <x:c r="I24" s="107"/>
      <x:c r="J24" s="107"/>
      <x:c r="K24" s="107"/>
      <x:c r="L24" s="107"/>
      <x:c r="M24" s="107"/>
      <x:c r="N24" s="107"/>
      <x:c r="O24" s="107"/>
      <x:c r="P24" s="108"/>
      <x:c r="Q24" s="92"/>
      <x:c r="R24" s="92"/>
      <x:c r="S24" s="92"/>
      <x:c r="T24" s="92"/>
      <x:c r="U24" s="92"/>
      <x:c r="V24" s="92"/>
      <x:c r="W24" s="92"/>
      <x:c r="X24" s="92"/>
      <x:c r="Y24" s="92"/>
      <x:c r="Z24" s="92"/>
    </x:row>
    <x:row r="25">
      <x:c r="A25" s="106"/>
      <x:c r="B25" s="165"/>
      <x:c r="C25" s="107"/>
      <x:c r="D25" s="107"/>
      <x:c r="E25" s="107"/>
      <x:c r="F25" s="107"/>
      <x:c r="G25" s="107"/>
      <x:c r="H25" s="107"/>
      <x:c r="I25" s="107"/>
      <x:c r="J25" s="107"/>
      <x:c r="K25" s="107"/>
      <x:c r="L25" s="107"/>
      <x:c r="M25" s="107"/>
      <x:c r="N25" s="107"/>
      <x:c r="O25" s="107"/>
      <x:c r="P25" s="108"/>
      <x:c r="Q25" s="92"/>
      <x:c r="R25" s="92"/>
      <x:c r="S25" s="92"/>
      <x:c r="T25" s="92"/>
      <x:c r="U25" s="92"/>
      <x:c r="V25" s="92"/>
      <x:c r="W25" s="92"/>
      <x:c r="X25" s="92"/>
      <x:c r="Y25" s="92"/>
      <x:c r="Z25" s="92"/>
    </x:row>
    <x:row r="26">
      <x:c r="A26" s="106"/>
      <x:c r="B26" s="165"/>
      <x:c r="C26" s="107"/>
      <x:c r="D26" s="107"/>
      <x:c r="E26" s="107"/>
      <x:c r="F26" s="107"/>
      <x:c r="G26" s="107"/>
      <x:c r="H26" s="107"/>
      <x:c r="I26" s="107"/>
      <x:c r="J26" s="107"/>
      <x:c r="K26" s="107"/>
      <x:c r="L26" s="107"/>
      <x:c r="M26" s="107"/>
      <x:c r="N26" s="107"/>
      <x:c r="O26" s="107"/>
      <x:c r="P26" s="108"/>
      <x:c r="Q26" s="92"/>
      <x:c r="R26" s="92"/>
      <x:c r="S26" s="92"/>
      <x:c r="T26" s="92"/>
      <x:c r="U26" s="92"/>
      <x:c r="V26" s="92"/>
      <x:c r="W26" s="92"/>
      <x:c r="X26" s="92"/>
      <x:c r="Y26" s="92"/>
      <x:c r="Z26" s="92"/>
    </x:row>
    <x:row r="27">
      <x:c r="A27" s="106"/>
      <x:c r="B27" s="165"/>
      <x:c r="C27" s="107"/>
      <x:c r="D27" s="107"/>
      <x:c r="E27" s="107"/>
      <x:c r="F27" s="107"/>
      <x:c r="G27" s="107"/>
      <x:c r="H27" s="107"/>
      <x:c r="I27" s="107"/>
      <x:c r="J27" s="107"/>
      <x:c r="K27" s="107"/>
      <x:c r="L27" s="107"/>
      <x:c r="M27" s="107"/>
      <x:c r="N27" s="107"/>
      <x:c r="O27" s="107"/>
      <x:c r="P27" s="108"/>
      <x:c r="Q27" s="92"/>
      <x:c r="R27" s="92"/>
      <x:c r="S27" s="92"/>
      <x:c r="T27" s="92"/>
      <x:c r="U27" s="92"/>
      <x:c r="V27" s="92"/>
      <x:c r="W27" s="92"/>
      <x:c r="X27" s="92"/>
      <x:c r="Y27" s="92"/>
      <x:c r="Z27" s="92"/>
    </x:row>
    <x:row r="28">
      <x:c r="A28" s="106"/>
      <x:c r="B28" s="165"/>
      <x:c r="C28" s="107"/>
      <x:c r="D28" s="107"/>
      <x:c r="E28" s="107"/>
      <x:c r="F28" s="107"/>
      <x:c r="G28" s="107"/>
      <x:c r="H28" s="107"/>
      <x:c r="I28" s="107"/>
      <x:c r="J28" s="107"/>
      <x:c r="K28" s="107"/>
      <x:c r="L28" s="107"/>
      <x:c r="M28" s="107"/>
      <x:c r="N28" s="107"/>
      <x:c r="O28" s="107"/>
      <x:c r="P28" s="108"/>
      <x:c r="Q28" s="92"/>
      <x:c r="R28" s="92"/>
      <x:c r="S28" s="92"/>
      <x:c r="T28" s="92"/>
      <x:c r="U28" s="92"/>
      <x:c r="V28" s="92"/>
      <x:c r="W28" s="92"/>
      <x:c r="X28" s="92"/>
      <x:c r="Y28" s="92"/>
      <x:c r="Z28" s="92"/>
    </x:row>
    <x:row r="29">
      <x:c r="A29" s="106"/>
      <x:c r="B29" s="165"/>
      <x:c r="C29" s="107"/>
      <x:c r="D29" s="107"/>
      <x:c r="E29" s="107"/>
      <x:c r="F29" s="107"/>
      <x:c r="G29" s="107"/>
      <x:c r="H29" s="107"/>
      <x:c r="I29" s="107"/>
      <x:c r="J29" s="107"/>
      <x:c r="K29" s="107"/>
      <x:c r="L29" s="107"/>
      <x:c r="M29" s="107"/>
      <x:c r="N29" s="107"/>
      <x:c r="O29" s="107"/>
      <x:c r="P29" s="108"/>
      <x:c r="Q29" s="92"/>
      <x:c r="R29" s="92"/>
      <x:c r="S29" s="92"/>
      <x:c r="T29" s="92"/>
      <x:c r="U29" s="92"/>
      <x:c r="V29" s="92"/>
      <x:c r="W29" s="92"/>
      <x:c r="X29" s="92"/>
      <x:c r="Y29" s="92"/>
      <x:c r="Z29" s="92"/>
    </x:row>
    <x:row r="30">
      <x:c r="A30" s="106"/>
      <x:c r="B30" s="165"/>
      <x:c r="C30" s="107"/>
      <x:c r="D30" s="107"/>
      <x:c r="E30" s="107"/>
      <x:c r="F30" s="107"/>
      <x:c r="G30" s="107"/>
      <x:c r="H30" s="107"/>
      <x:c r="I30" s="107"/>
      <x:c r="J30" s="107"/>
      <x:c r="K30" s="107"/>
      <x:c r="L30" s="107"/>
      <x:c r="M30" s="107"/>
      <x:c r="N30" s="107"/>
      <x:c r="O30" s="107"/>
      <x:c r="P30" s="108"/>
      <x:c r="Q30" s="92"/>
      <x:c r="R30" s="92"/>
      <x:c r="S30" s="92"/>
      <x:c r="T30" s="92"/>
      <x:c r="U30" s="92"/>
      <x:c r="V30" s="92"/>
      <x:c r="W30" s="92"/>
      <x:c r="X30" s="92"/>
      <x:c r="Y30" s="92"/>
      <x:c r="Z30" s="92"/>
    </x:row>
    <x:row r="31">
      <x:c r="A31" s="106"/>
      <x:c r="B31" s="165"/>
      <x:c r="C31" s="107"/>
      <x:c r="D31" s="107"/>
      <x:c r="E31" s="107"/>
      <x:c r="F31" s="107"/>
      <x:c r="G31" s="107"/>
      <x:c r="H31" s="107"/>
      <x:c r="I31" s="107"/>
      <x:c r="J31" s="107"/>
      <x:c r="K31" s="107"/>
      <x:c r="L31" s="107"/>
      <x:c r="M31" s="107"/>
      <x:c r="N31" s="107"/>
      <x:c r="O31" s="107"/>
      <x:c r="P31" s="108"/>
      <x:c r="Q31" s="92"/>
      <x:c r="R31" s="92"/>
      <x:c r="S31" s="92"/>
      <x:c r="T31" s="92"/>
      <x:c r="U31" s="92"/>
      <x:c r="V31" s="92"/>
      <x:c r="W31" s="92"/>
      <x:c r="X31" s="92"/>
      <x:c r="Y31" s="92"/>
      <x:c r="Z31" s="92"/>
    </x:row>
    <x:row r="32">
      <x:c r="A32" s="106"/>
      <x:c r="B32" s="165"/>
      <x:c r="C32" s="107"/>
      <x:c r="D32" s="107"/>
      <x:c r="E32" s="107"/>
      <x:c r="F32" s="107"/>
      <x:c r="G32" s="107"/>
      <x:c r="H32" s="107"/>
      <x:c r="I32" s="107"/>
      <x:c r="J32" s="107"/>
      <x:c r="K32" s="107"/>
      <x:c r="L32" s="107"/>
      <x:c r="M32" s="107"/>
      <x:c r="N32" s="107"/>
      <x:c r="O32" s="107"/>
      <x:c r="P32" s="108"/>
      <x:c r="Q32" s="92"/>
      <x:c r="R32" s="92"/>
      <x:c r="S32" s="92"/>
      <x:c r="T32" s="92"/>
      <x:c r="U32" s="92"/>
      <x:c r="V32" s="92"/>
      <x:c r="W32" s="92"/>
      <x:c r="X32" s="92"/>
      <x:c r="Y32" s="92"/>
      <x:c r="Z32" s="92"/>
    </x:row>
    <x:row r="33">
      <x:c r="A33" s="106"/>
      <x:c r="B33" s="165"/>
      <x:c r="C33" s="107"/>
      <x:c r="D33" s="107"/>
      <x:c r="E33" s="107"/>
      <x:c r="F33" s="107"/>
      <x:c r="G33" s="107"/>
      <x:c r="H33" s="107"/>
      <x:c r="I33" s="107"/>
      <x:c r="J33" s="107"/>
      <x:c r="K33" s="107"/>
      <x:c r="L33" s="107"/>
      <x:c r="M33" s="107"/>
      <x:c r="N33" s="107"/>
      <x:c r="O33" s="107"/>
      <x:c r="P33" s="108"/>
      <x:c r="Q33" s="92"/>
      <x:c r="R33" s="92"/>
      <x:c r="S33" s="92"/>
      <x:c r="T33" s="92"/>
      <x:c r="U33" s="92"/>
      <x:c r="V33" s="92"/>
      <x:c r="W33" s="92"/>
      <x:c r="X33" s="92"/>
      <x:c r="Y33" s="92"/>
      <x:c r="Z33" s="92"/>
    </x:row>
    <x:row r="34">
      <x:c r="A34" s="106"/>
      <x:c r="B34" s="165"/>
      <x:c r="C34" s="107"/>
      <x:c r="D34" s="107"/>
      <x:c r="E34" s="107"/>
      <x:c r="F34" s="107"/>
      <x:c r="G34" s="107"/>
      <x:c r="H34" s="107"/>
      <x:c r="I34" s="107"/>
      <x:c r="J34" s="107"/>
      <x:c r="K34" s="107"/>
      <x:c r="L34" s="107"/>
      <x:c r="M34" s="107"/>
      <x:c r="N34" s="107"/>
      <x:c r="O34" s="107"/>
      <x:c r="P34" s="108"/>
      <x:c r="Q34" s="92"/>
      <x:c r="R34" s="92"/>
      <x:c r="S34" s="92"/>
      <x:c r="T34" s="92"/>
      <x:c r="U34" s="92"/>
      <x:c r="V34" s="92"/>
      <x:c r="W34" s="92"/>
      <x:c r="X34" s="92"/>
      <x:c r="Y34" s="92"/>
      <x:c r="Z34" s="92"/>
    </x:row>
    <x:row r="35">
      <x:c r="A35" s="106"/>
      <x:c r="B35" s="165"/>
      <x:c r="C35" s="107"/>
      <x:c r="D35" s="107"/>
      <x:c r="E35" s="107"/>
      <x:c r="F35" s="107"/>
      <x:c r="G35" s="107"/>
      <x:c r="H35" s="107"/>
      <x:c r="I35" s="107"/>
      <x:c r="J35" s="107"/>
      <x:c r="K35" s="107"/>
      <x:c r="L35" s="107"/>
      <x:c r="M35" s="107"/>
      <x:c r="N35" s="107"/>
      <x:c r="O35" s="107"/>
      <x:c r="P35" s="108"/>
      <x:c r="Q35" s="92"/>
      <x:c r="R35" s="92"/>
      <x:c r="S35" s="92"/>
      <x:c r="T35" s="92"/>
      <x:c r="U35" s="92"/>
      <x:c r="V35" s="92"/>
      <x:c r="W35" s="92"/>
      <x:c r="X35" s="92"/>
      <x:c r="Y35" s="92"/>
      <x:c r="Z35" s="92"/>
    </x:row>
    <x:row r="36">
      <x:c r="A36" s="106"/>
      <x:c r="B36" s="165"/>
      <x:c r="C36" s="107"/>
      <x:c r="D36" s="107"/>
      <x:c r="E36" s="107"/>
      <x:c r="F36" s="107"/>
      <x:c r="G36" s="107"/>
      <x:c r="H36" s="107"/>
      <x:c r="I36" s="107"/>
      <x:c r="J36" s="107"/>
      <x:c r="K36" s="107"/>
      <x:c r="L36" s="107"/>
      <x:c r="M36" s="107"/>
      <x:c r="N36" s="107"/>
      <x:c r="O36" s="107"/>
      <x:c r="P36" s="108"/>
      <x:c r="Q36" s="92"/>
      <x:c r="R36" s="92"/>
      <x:c r="S36" s="92"/>
      <x:c r="T36" s="92"/>
      <x:c r="U36" s="92"/>
      <x:c r="V36" s="92"/>
      <x:c r="W36" s="92"/>
      <x:c r="X36" s="92"/>
      <x:c r="Y36" s="92"/>
      <x:c r="Z36" s="92"/>
    </x:row>
    <x:row r="37">
      <x:c r="A37" s="106"/>
      <x:c r="B37" s="165"/>
      <x:c r="C37" s="107"/>
      <x:c r="D37" s="107"/>
      <x:c r="E37" s="107"/>
      <x:c r="F37" s="107"/>
      <x:c r="G37" s="107"/>
      <x:c r="H37" s="107"/>
      <x:c r="I37" s="107"/>
      <x:c r="J37" s="107"/>
      <x:c r="K37" s="107"/>
      <x:c r="L37" s="107"/>
      <x:c r="M37" s="107"/>
      <x:c r="N37" s="107"/>
      <x:c r="O37" s="107"/>
      <x:c r="P37" s="108"/>
      <x:c r="Q37" s="92"/>
      <x:c r="R37" s="92"/>
      <x:c r="S37" s="92"/>
      <x:c r="T37" s="92"/>
      <x:c r="U37" s="92"/>
      <x:c r="V37" s="92"/>
      <x:c r="W37" s="92"/>
      <x:c r="X37" s="92"/>
      <x:c r="Y37" s="92"/>
      <x:c r="Z37" s="92"/>
    </x:row>
    <x:row r="38">
      <x:c r="A38" s="106"/>
      <x:c r="B38" s="165"/>
      <x:c r="C38" s="107"/>
      <x:c r="D38" s="107"/>
      <x:c r="E38" s="107"/>
      <x:c r="F38" s="107"/>
      <x:c r="G38" s="107"/>
      <x:c r="H38" s="107"/>
      <x:c r="I38" s="107"/>
      <x:c r="J38" s="107"/>
      <x:c r="K38" s="107"/>
      <x:c r="L38" s="107"/>
      <x:c r="M38" s="107"/>
      <x:c r="N38" s="107"/>
      <x:c r="O38" s="107"/>
      <x:c r="P38" s="108"/>
      <x:c r="Q38" s="92"/>
      <x:c r="R38" s="92"/>
      <x:c r="S38" s="92"/>
      <x:c r="T38" s="92"/>
      <x:c r="U38" s="92"/>
      <x:c r="V38" s="92"/>
      <x:c r="W38" s="92"/>
      <x:c r="X38" s="92"/>
      <x:c r="Y38" s="92"/>
      <x:c r="Z38" s="92"/>
    </x:row>
    <x:row r="39">
      <x:c r="A39" s="106"/>
      <x:c r="B39" s="165"/>
      <x:c r="C39" s="107"/>
      <x:c r="D39" s="107"/>
      <x:c r="E39" s="107"/>
      <x:c r="F39" s="107"/>
      <x:c r="G39" s="107"/>
      <x:c r="H39" s="107"/>
      <x:c r="I39" s="107"/>
      <x:c r="J39" s="107"/>
      <x:c r="K39" s="107"/>
      <x:c r="L39" s="107"/>
      <x:c r="M39" s="107"/>
      <x:c r="N39" s="107"/>
      <x:c r="O39" s="107"/>
      <x:c r="P39" s="108"/>
      <x:c r="Q39" s="92"/>
      <x:c r="R39" s="92"/>
      <x:c r="S39" s="92"/>
      <x:c r="T39" s="92"/>
      <x:c r="U39" s="92"/>
      <x:c r="V39" s="92"/>
      <x:c r="W39" s="92"/>
      <x:c r="X39" s="92"/>
      <x:c r="Y39" s="92"/>
      <x:c r="Z39" s="92"/>
    </x:row>
    <x:row r="40">
      <x:c r="A40" s="106"/>
      <x:c r="B40" s="165"/>
      <x:c r="C40" s="107"/>
      <x:c r="D40" s="107"/>
      <x:c r="E40" s="107"/>
      <x:c r="F40" s="107"/>
      <x:c r="G40" s="107"/>
      <x:c r="H40" s="107"/>
      <x:c r="I40" s="107"/>
      <x:c r="J40" s="107"/>
      <x:c r="K40" s="107"/>
      <x:c r="L40" s="107"/>
      <x:c r="M40" s="107"/>
      <x:c r="N40" s="107"/>
      <x:c r="O40" s="107"/>
      <x:c r="P40" s="108"/>
      <x:c r="Q40" s="92"/>
      <x:c r="R40" s="92"/>
      <x:c r="S40" s="92"/>
      <x:c r="T40" s="92"/>
      <x:c r="U40" s="92"/>
      <x:c r="V40" s="92"/>
      <x:c r="W40" s="92"/>
      <x:c r="X40" s="92"/>
      <x:c r="Y40" s="92"/>
      <x:c r="Z40" s="92"/>
    </x:row>
    <x:row r="41">
      <x:c r="A41" s="106"/>
      <x:c r="B41" s="165"/>
      <x:c r="C41" s="107"/>
      <x:c r="D41" s="107"/>
      <x:c r="E41" s="107"/>
      <x:c r="F41" s="107"/>
      <x:c r="G41" s="107"/>
      <x:c r="H41" s="107"/>
      <x:c r="I41" s="107"/>
      <x:c r="J41" s="107"/>
      <x:c r="K41" s="107"/>
      <x:c r="L41" s="107"/>
      <x:c r="M41" s="107"/>
      <x:c r="N41" s="107"/>
      <x:c r="O41" s="107"/>
      <x:c r="P41" s="108"/>
      <x:c r="Q41" s="92"/>
      <x:c r="R41" s="92"/>
      <x:c r="S41" s="92"/>
      <x:c r="T41" s="92"/>
      <x:c r="U41" s="92"/>
      <x:c r="V41" s="92"/>
      <x:c r="W41" s="92"/>
      <x:c r="X41" s="92"/>
      <x:c r="Y41" s="92"/>
      <x:c r="Z41" s="92"/>
    </x:row>
    <x:row r="42">
      <x:c r="A42" s="106"/>
      <x:c r="B42" s="165"/>
      <x:c r="C42" s="107"/>
      <x:c r="D42" s="107"/>
      <x:c r="E42" s="107"/>
      <x:c r="F42" s="107"/>
      <x:c r="G42" s="107"/>
      <x:c r="H42" s="107"/>
      <x:c r="I42" s="107"/>
      <x:c r="J42" s="107"/>
      <x:c r="K42" s="107"/>
      <x:c r="L42" s="107"/>
      <x:c r="M42" s="107"/>
      <x:c r="N42" s="107"/>
      <x:c r="O42" s="107"/>
      <x:c r="P42" s="108"/>
      <x:c r="Q42" s="92"/>
      <x:c r="R42" s="92"/>
      <x:c r="S42" s="92"/>
      <x:c r="T42" s="92"/>
      <x:c r="U42" s="92"/>
      <x:c r="V42" s="92"/>
      <x:c r="W42" s="92"/>
      <x:c r="X42" s="92"/>
      <x:c r="Y42" s="92"/>
      <x:c r="Z42" s="92"/>
    </x:row>
    <x:row r="43">
      <x:c r="A43" s="106"/>
      <x:c r="B43" s="165"/>
      <x:c r="C43" s="107"/>
      <x:c r="D43" s="107"/>
      <x:c r="E43" s="107"/>
      <x:c r="F43" s="107"/>
      <x:c r="G43" s="107"/>
      <x:c r="H43" s="107"/>
      <x:c r="I43" s="107"/>
      <x:c r="J43" s="107"/>
      <x:c r="K43" s="107"/>
      <x:c r="L43" s="107"/>
      <x:c r="M43" s="107"/>
      <x:c r="N43" s="107"/>
      <x:c r="O43" s="107"/>
      <x:c r="P43" s="108"/>
      <x:c r="Q43" s="92"/>
      <x:c r="R43" s="92"/>
      <x:c r="S43" s="92"/>
      <x:c r="T43" s="92"/>
      <x:c r="U43" s="92"/>
      <x:c r="V43" s="92"/>
      <x:c r="W43" s="92"/>
      <x:c r="X43" s="92"/>
      <x:c r="Y43" s="92"/>
      <x:c r="Z43" s="92"/>
    </x:row>
    <x:row r="44">
      <x:c r="A44" s="106"/>
      <x:c r="B44" s="165"/>
      <x:c r="C44" s="107"/>
      <x:c r="D44" s="107"/>
      <x:c r="E44" s="107"/>
      <x:c r="F44" s="107"/>
      <x:c r="G44" s="107"/>
      <x:c r="H44" s="107"/>
      <x:c r="I44" s="107"/>
      <x:c r="J44" s="107"/>
      <x:c r="K44" s="107"/>
      <x:c r="L44" s="107"/>
      <x:c r="M44" s="107"/>
      <x:c r="N44" s="107"/>
      <x:c r="O44" s="107"/>
      <x:c r="P44" s="108"/>
      <x:c r="Q44" s="92"/>
      <x:c r="R44" s="92"/>
      <x:c r="S44" s="92"/>
      <x:c r="T44" s="92"/>
      <x:c r="U44" s="92"/>
      <x:c r="V44" s="92"/>
      <x:c r="W44" s="92"/>
      <x:c r="X44" s="92"/>
      <x:c r="Y44" s="92"/>
      <x:c r="Z44" s="92"/>
    </x:row>
    <x:row r="45">
      <x:c r="A45" s="106"/>
      <x:c r="B45" s="165"/>
      <x:c r="C45" s="107"/>
      <x:c r="D45" s="107"/>
      <x:c r="E45" s="107"/>
      <x:c r="F45" s="107"/>
      <x:c r="G45" s="107"/>
      <x:c r="H45" s="107"/>
      <x:c r="I45" s="107"/>
      <x:c r="J45" s="107"/>
      <x:c r="K45" s="107"/>
      <x:c r="L45" s="107"/>
      <x:c r="M45" s="107"/>
      <x:c r="N45" s="107"/>
      <x:c r="O45" s="107"/>
      <x:c r="P45" s="108"/>
      <x:c r="Q45" s="92"/>
      <x:c r="R45" s="92"/>
      <x:c r="S45" s="92"/>
      <x:c r="T45" s="92"/>
      <x:c r="U45" s="92"/>
      <x:c r="V45" s="92"/>
      <x:c r="W45" s="92"/>
      <x:c r="X45" s="92"/>
      <x:c r="Y45" s="92"/>
      <x:c r="Z45" s="92"/>
    </x:row>
    <x:row r="46">
      <x:c r="A46" s="106"/>
      <x:c r="B46" s="165"/>
      <x:c r="C46" s="107"/>
      <x:c r="D46" s="107"/>
      <x:c r="E46" s="107"/>
      <x:c r="F46" s="107"/>
      <x:c r="G46" s="107"/>
      <x:c r="H46" s="107"/>
      <x:c r="I46" s="107"/>
      <x:c r="J46" s="107"/>
      <x:c r="K46" s="107"/>
      <x:c r="L46" s="107"/>
      <x:c r="M46" s="107"/>
      <x:c r="N46" s="107"/>
      <x:c r="O46" s="107"/>
      <x:c r="P46" s="108"/>
      <x:c r="Q46" s="92"/>
      <x:c r="R46" s="92"/>
      <x:c r="S46" s="92"/>
      <x:c r="T46" s="92"/>
      <x:c r="U46" s="92"/>
      <x:c r="V46" s="92"/>
      <x:c r="W46" s="92"/>
      <x:c r="X46" s="92"/>
      <x:c r="Y46" s="92"/>
      <x:c r="Z46" s="92"/>
    </x:row>
    <x:row r="47">
      <x:c r="A47" s="106"/>
      <x:c r="B47" s="165"/>
      <x:c r="C47" s="107"/>
      <x:c r="D47" s="107"/>
      <x:c r="E47" s="107"/>
      <x:c r="F47" s="107"/>
      <x:c r="G47" s="107"/>
      <x:c r="H47" s="107"/>
      <x:c r="I47" s="107"/>
      <x:c r="J47" s="107"/>
      <x:c r="K47" s="107"/>
      <x:c r="L47" s="107"/>
      <x:c r="M47" s="107"/>
      <x:c r="N47" s="107"/>
      <x:c r="O47" s="107"/>
      <x:c r="P47" s="108"/>
      <x:c r="Q47" s="92"/>
      <x:c r="R47" s="92"/>
      <x:c r="S47" s="92"/>
      <x:c r="T47" s="92"/>
      <x:c r="U47" s="92"/>
      <x:c r="V47" s="92"/>
      <x:c r="W47" s="92"/>
      <x:c r="X47" s="92"/>
      <x:c r="Y47" s="92"/>
      <x:c r="Z47" s="92"/>
    </x:row>
    <x:row r="48">
      <x:c r="A48" s="106"/>
      <x:c r="B48" s="165"/>
      <x:c r="C48" s="107"/>
      <x:c r="D48" s="107"/>
      <x:c r="E48" s="107"/>
      <x:c r="F48" s="107"/>
      <x:c r="G48" s="107"/>
      <x:c r="H48" s="107"/>
      <x:c r="I48" s="107"/>
      <x:c r="J48" s="107"/>
      <x:c r="K48" s="107"/>
      <x:c r="L48" s="107"/>
      <x:c r="M48" s="107"/>
      <x:c r="N48" s="107"/>
      <x:c r="O48" s="107"/>
      <x:c r="P48" s="108"/>
      <x:c r="Q48" s="92"/>
      <x:c r="R48" s="92"/>
      <x:c r="S48" s="92"/>
      <x:c r="T48" s="92"/>
      <x:c r="U48" s="92"/>
      <x:c r="V48" s="92"/>
      <x:c r="W48" s="92"/>
      <x:c r="X48" s="92"/>
      <x:c r="Y48" s="92"/>
      <x:c r="Z48" s="92"/>
    </x:row>
    <x:row r="49">
      <x:c r="A49" s="106"/>
      <x:c r="B49" s="165"/>
      <x:c r="C49" s="107"/>
      <x:c r="D49" s="107"/>
      <x:c r="E49" s="107"/>
      <x:c r="F49" s="107"/>
      <x:c r="G49" s="107"/>
      <x:c r="H49" s="107"/>
      <x:c r="I49" s="107"/>
      <x:c r="J49" s="107"/>
      <x:c r="K49" s="107"/>
      <x:c r="L49" s="107"/>
      <x:c r="M49" s="107"/>
      <x:c r="N49" s="107"/>
      <x:c r="O49" s="107"/>
      <x:c r="P49" s="108"/>
      <x:c r="Q49" s="92"/>
      <x:c r="R49" s="92"/>
      <x:c r="S49" s="92"/>
      <x:c r="T49" s="92"/>
      <x:c r="U49" s="92"/>
      <x:c r="V49" s="92"/>
      <x:c r="W49" s="92"/>
      <x:c r="X49" s="92"/>
      <x:c r="Y49" s="92"/>
      <x:c r="Z49" s="92"/>
    </x:row>
    <x:row r="50">
      <x:c r="A50" s="106"/>
      <x:c r="B50" s="165"/>
      <x:c r="C50" s="107"/>
      <x:c r="D50" s="107"/>
      <x:c r="E50" s="107"/>
      <x:c r="F50" s="107"/>
      <x:c r="G50" s="107"/>
      <x:c r="H50" s="107"/>
      <x:c r="I50" s="107"/>
      <x:c r="J50" s="107"/>
      <x:c r="K50" s="107"/>
      <x:c r="L50" s="107"/>
      <x:c r="M50" s="107"/>
      <x:c r="N50" s="107"/>
      <x:c r="O50" s="107"/>
      <x:c r="P50" s="108"/>
      <x:c r="Q50" s="92"/>
      <x:c r="R50" s="92"/>
      <x:c r="S50" s="92"/>
      <x:c r="T50" s="92"/>
      <x:c r="U50" s="92"/>
      <x:c r="V50" s="92"/>
      <x:c r="W50" s="92"/>
      <x:c r="X50" s="92"/>
      <x:c r="Y50" s="92"/>
      <x:c r="Z50" s="92"/>
    </x:row>
    <x:row r="51">
      <x:c r="A51" s="106"/>
      <x:c r="B51" s="165"/>
      <x:c r="C51" s="107"/>
      <x:c r="D51" s="107"/>
      <x:c r="E51" s="107"/>
      <x:c r="F51" s="107"/>
      <x:c r="G51" s="107"/>
      <x:c r="H51" s="107"/>
      <x:c r="I51" s="107"/>
      <x:c r="J51" s="107"/>
      <x:c r="K51" s="107"/>
      <x:c r="L51" s="107"/>
      <x:c r="M51" s="107"/>
      <x:c r="N51" s="107"/>
      <x:c r="O51" s="107"/>
      <x:c r="P51" s="108"/>
      <x:c r="Q51" s="92"/>
      <x:c r="R51" s="92"/>
      <x:c r="S51" s="92"/>
      <x:c r="T51" s="92"/>
      <x:c r="U51" s="92"/>
      <x:c r="V51" s="92"/>
      <x:c r="W51" s="92"/>
      <x:c r="X51" s="92"/>
      <x:c r="Y51" s="92"/>
      <x:c r="Z51" s="92"/>
    </x:row>
    <x:row r="52">
      <x:c r="A52" s="106"/>
      <x:c r="B52" s="165"/>
      <x:c r="C52" s="107"/>
      <x:c r="D52" s="107"/>
      <x:c r="E52" s="107"/>
      <x:c r="F52" s="107"/>
      <x:c r="G52" s="107"/>
      <x:c r="H52" s="107"/>
      <x:c r="I52" s="107"/>
      <x:c r="J52" s="107"/>
      <x:c r="K52" s="107"/>
      <x:c r="L52" s="107"/>
      <x:c r="M52" s="107"/>
      <x:c r="N52" s="107"/>
      <x:c r="O52" s="107"/>
      <x:c r="P52" s="108"/>
      <x:c r="Q52" s="92"/>
      <x:c r="R52" s="92"/>
      <x:c r="S52" s="92"/>
      <x:c r="T52" s="92"/>
      <x:c r="U52" s="92"/>
      <x:c r="V52" s="92"/>
      <x:c r="W52" s="92"/>
      <x:c r="X52" s="92"/>
      <x:c r="Y52" s="92"/>
      <x:c r="Z52" s="92"/>
    </x:row>
    <x:row r="53">
      <x:c r="A53" s="106"/>
      <x:c r="B53" s="165"/>
      <x:c r="C53" s="107"/>
      <x:c r="D53" s="107"/>
      <x:c r="E53" s="107"/>
      <x:c r="F53" s="107"/>
      <x:c r="G53" s="107"/>
      <x:c r="H53" s="107"/>
      <x:c r="I53" s="107"/>
      <x:c r="J53" s="107"/>
      <x:c r="K53" s="107"/>
      <x:c r="L53" s="107"/>
      <x:c r="M53" s="107"/>
      <x:c r="N53" s="107"/>
      <x:c r="O53" s="107"/>
      <x:c r="P53" s="108"/>
      <x:c r="Q53" s="92"/>
      <x:c r="R53" s="92"/>
      <x:c r="S53" s="92"/>
      <x:c r="T53" s="92"/>
      <x:c r="U53" s="92"/>
      <x:c r="V53" s="92"/>
      <x:c r="W53" s="92"/>
      <x:c r="X53" s="92"/>
      <x:c r="Y53" s="92"/>
      <x:c r="Z53" s="92"/>
    </x:row>
    <x:row r="54">
      <x:c r="A54" s="106"/>
      <x:c r="B54" s="165"/>
      <x:c r="C54" s="107"/>
      <x:c r="D54" s="107"/>
      <x:c r="E54" s="107"/>
      <x:c r="F54" s="107"/>
      <x:c r="G54" s="107"/>
      <x:c r="H54" s="107"/>
      <x:c r="I54" s="107"/>
      <x:c r="J54" s="107"/>
      <x:c r="K54" s="107"/>
      <x:c r="L54" s="107"/>
      <x:c r="M54" s="107"/>
      <x:c r="N54" s="107"/>
      <x:c r="O54" s="107"/>
      <x:c r="P54" s="108"/>
      <x:c r="Q54" s="92"/>
      <x:c r="R54" s="92"/>
      <x:c r="S54" s="92"/>
      <x:c r="T54" s="92"/>
      <x:c r="U54" s="92"/>
      <x:c r="V54" s="92"/>
      <x:c r="W54" s="92"/>
      <x:c r="X54" s="92"/>
      <x:c r="Y54" s="92"/>
      <x:c r="Z54" s="92"/>
    </x:row>
    <x:row r="55">
      <x:c r="A55" s="106"/>
      <x:c r="B55" s="165"/>
      <x:c r="C55" s="107"/>
      <x:c r="D55" s="107"/>
      <x:c r="E55" s="107"/>
      <x:c r="F55" s="107"/>
      <x:c r="G55" s="107"/>
      <x:c r="H55" s="107"/>
      <x:c r="I55" s="107"/>
      <x:c r="J55" s="107"/>
      <x:c r="K55" s="107"/>
      <x:c r="L55" s="107"/>
      <x:c r="M55" s="107"/>
      <x:c r="N55" s="107"/>
      <x:c r="O55" s="107"/>
      <x:c r="P55" s="108"/>
      <x:c r="Q55" s="92"/>
      <x:c r="R55" s="92"/>
      <x:c r="S55" s="92"/>
      <x:c r="T55" s="92"/>
      <x:c r="U55" s="92"/>
      <x:c r="V55" s="92"/>
      <x:c r="W55" s="92"/>
      <x:c r="X55" s="92"/>
      <x:c r="Y55" s="92"/>
      <x:c r="Z55" s="92"/>
    </x:row>
    <x:row r="56">
      <x:c r="A56" s="106"/>
      <x:c r="B56" s="165"/>
      <x:c r="C56" s="107"/>
      <x:c r="D56" s="107"/>
      <x:c r="E56" s="107"/>
      <x:c r="F56" s="107"/>
      <x:c r="G56" s="107"/>
      <x:c r="H56" s="107"/>
      <x:c r="I56" s="107"/>
      <x:c r="J56" s="107"/>
      <x:c r="K56" s="107"/>
      <x:c r="L56" s="107"/>
      <x:c r="M56" s="107"/>
      <x:c r="N56" s="107"/>
      <x:c r="O56" s="107"/>
      <x:c r="P56" s="108"/>
      <x:c r="Q56" s="92"/>
      <x:c r="R56" s="92"/>
      <x:c r="S56" s="92"/>
      <x:c r="T56" s="92"/>
      <x:c r="U56" s="92"/>
      <x:c r="V56" s="92"/>
      <x:c r="W56" s="92"/>
      <x:c r="X56" s="92"/>
      <x:c r="Y56" s="92"/>
      <x:c r="Z56" s="92"/>
    </x:row>
    <x:row r="57">
      <x:c r="A57" s="106"/>
      <x:c r="B57" s="165"/>
      <x:c r="C57" s="107"/>
      <x:c r="D57" s="107"/>
      <x:c r="E57" s="107"/>
      <x:c r="F57" s="107"/>
      <x:c r="G57" s="107"/>
      <x:c r="H57" s="107"/>
      <x:c r="I57" s="107"/>
      <x:c r="J57" s="107"/>
      <x:c r="K57" s="107"/>
      <x:c r="L57" s="107"/>
      <x:c r="M57" s="107"/>
      <x:c r="N57" s="107"/>
      <x:c r="O57" s="107"/>
      <x:c r="P57" s="108"/>
      <x:c r="Q57" s="92"/>
      <x:c r="R57" s="92"/>
      <x:c r="S57" s="92"/>
      <x:c r="T57" s="92"/>
      <x:c r="U57" s="92"/>
      <x:c r="V57" s="92"/>
      <x:c r="W57" s="92"/>
      <x:c r="X57" s="92"/>
      <x:c r="Y57" s="92"/>
      <x:c r="Z57" s="92"/>
    </x:row>
    <x:row r="58">
      <x:c r="A58" s="106"/>
      <x:c r="B58" s="165"/>
      <x:c r="C58" s="107"/>
      <x:c r="D58" s="107"/>
      <x:c r="E58" s="107"/>
      <x:c r="F58" s="107"/>
      <x:c r="G58" s="107"/>
      <x:c r="H58" s="107"/>
      <x:c r="I58" s="107"/>
      <x:c r="J58" s="107"/>
      <x:c r="K58" s="107"/>
      <x:c r="L58" s="107"/>
      <x:c r="M58" s="107"/>
      <x:c r="N58" s="107"/>
      <x:c r="O58" s="107"/>
      <x:c r="P58" s="108"/>
      <x:c r="Q58" s="92"/>
      <x:c r="R58" s="92"/>
      <x:c r="S58" s="92"/>
      <x:c r="T58" s="92"/>
      <x:c r="U58" s="92"/>
      <x:c r="V58" s="92"/>
      <x:c r="W58" s="92"/>
      <x:c r="X58" s="92"/>
      <x:c r="Y58" s="92"/>
      <x:c r="Z58" s="92"/>
    </x:row>
    <x:row r="59">
      <x:c r="A59" s="106"/>
      <x:c r="B59" s="165"/>
      <x:c r="C59" s="107"/>
      <x:c r="D59" s="107"/>
      <x:c r="E59" s="107"/>
      <x:c r="F59" s="107"/>
      <x:c r="G59" s="107"/>
      <x:c r="H59" s="107"/>
      <x:c r="I59" s="107"/>
      <x:c r="J59" s="107"/>
      <x:c r="K59" s="107"/>
      <x:c r="L59" s="107"/>
      <x:c r="M59" s="107"/>
      <x:c r="N59" s="107"/>
      <x:c r="O59" s="107"/>
      <x:c r="P59" s="108"/>
      <x:c r="Q59" s="92"/>
      <x:c r="R59" s="92"/>
      <x:c r="S59" s="92"/>
      <x:c r="T59" s="92"/>
      <x:c r="U59" s="92"/>
      <x:c r="V59" s="92"/>
      <x:c r="W59" s="92"/>
      <x:c r="X59" s="92"/>
      <x:c r="Y59" s="92"/>
      <x:c r="Z59" s="92"/>
    </x:row>
    <x:row r="60">
      <x:c r="A60" s="106"/>
      <x:c r="B60" s="165"/>
      <x:c r="C60" s="107"/>
      <x:c r="D60" s="107"/>
      <x:c r="E60" s="107"/>
      <x:c r="F60" s="107"/>
      <x:c r="G60" s="107"/>
      <x:c r="H60" s="107"/>
      <x:c r="I60" s="107"/>
      <x:c r="J60" s="107"/>
      <x:c r="K60" s="107"/>
      <x:c r="L60" s="107"/>
      <x:c r="M60" s="107"/>
      <x:c r="N60" s="107"/>
      <x:c r="O60" s="107"/>
      <x:c r="P60" s="108"/>
      <x:c r="Q60" s="92"/>
      <x:c r="R60" s="92"/>
      <x:c r="S60" s="92"/>
      <x:c r="T60" s="92"/>
      <x:c r="U60" s="92"/>
      <x:c r="V60" s="92"/>
      <x:c r="W60" s="92"/>
      <x:c r="X60" s="92"/>
      <x:c r="Y60" s="92"/>
      <x:c r="Z60" s="92"/>
    </x:row>
    <x:row r="61">
      <x:c r="A61" s="106"/>
      <x:c r="B61" s="165"/>
      <x:c r="C61" s="107"/>
      <x:c r="D61" s="107"/>
      <x:c r="E61" s="107"/>
      <x:c r="F61" s="107"/>
      <x:c r="G61" s="107"/>
      <x:c r="H61" s="107"/>
      <x:c r="I61" s="107"/>
      <x:c r="J61" s="107"/>
      <x:c r="K61" s="107"/>
      <x:c r="L61" s="107"/>
      <x:c r="M61" s="107"/>
      <x:c r="N61" s="107"/>
      <x:c r="O61" s="107"/>
      <x:c r="P61" s="108"/>
      <x:c r="Q61" s="92"/>
      <x:c r="R61" s="92"/>
      <x:c r="S61" s="92"/>
      <x:c r="T61" s="92"/>
      <x:c r="U61" s="92"/>
      <x:c r="V61" s="92"/>
      <x:c r="W61" s="92"/>
      <x:c r="X61" s="92"/>
      <x:c r="Y61" s="92"/>
      <x:c r="Z61" s="92"/>
    </x:row>
    <x:row r="62">
      <x:c r="A62" s="106"/>
      <x:c r="B62" s="165"/>
      <x:c r="C62" s="107"/>
      <x:c r="D62" s="107"/>
      <x:c r="E62" s="107"/>
      <x:c r="F62" s="107"/>
      <x:c r="G62" s="107"/>
      <x:c r="H62" s="107"/>
      <x:c r="I62" s="107"/>
      <x:c r="J62" s="107"/>
      <x:c r="K62" s="107"/>
      <x:c r="L62" s="107"/>
      <x:c r="M62" s="107"/>
      <x:c r="N62" s="107"/>
      <x:c r="O62" s="107"/>
      <x:c r="P62" s="108"/>
      <x:c r="Q62" s="92"/>
      <x:c r="R62" s="92"/>
      <x:c r="S62" s="92"/>
      <x:c r="T62" s="92"/>
      <x:c r="U62" s="92"/>
      <x:c r="V62" s="92"/>
      <x:c r="W62" s="92"/>
      <x:c r="X62" s="92"/>
      <x:c r="Y62" s="92"/>
      <x:c r="Z62" s="92"/>
    </x:row>
    <x:row r="63">
      <x:c r="A63" s="106"/>
      <x:c r="B63" s="165"/>
      <x:c r="C63" s="107"/>
      <x:c r="D63" s="107"/>
      <x:c r="E63" s="107"/>
      <x:c r="F63" s="107"/>
      <x:c r="G63" s="107"/>
      <x:c r="H63" s="107"/>
      <x:c r="I63" s="107"/>
      <x:c r="J63" s="107"/>
      <x:c r="K63" s="107"/>
      <x:c r="L63" s="107"/>
      <x:c r="M63" s="107"/>
      <x:c r="N63" s="107"/>
      <x:c r="O63" s="107"/>
      <x:c r="P63" s="108"/>
      <x:c r="Q63" s="92"/>
      <x:c r="R63" s="92"/>
      <x:c r="S63" s="92"/>
      <x:c r="T63" s="92"/>
      <x:c r="U63" s="92"/>
      <x:c r="V63" s="92"/>
      <x:c r="W63" s="92"/>
      <x:c r="X63" s="92"/>
      <x:c r="Y63" s="92"/>
      <x:c r="Z63" s="92"/>
    </x:row>
    <x:row r="64">
      <x:c r="A64" s="106"/>
      <x:c r="B64" s="165"/>
      <x:c r="C64" s="107"/>
      <x:c r="D64" s="107"/>
      <x:c r="E64" s="107"/>
      <x:c r="F64" s="107"/>
      <x:c r="G64" s="107"/>
      <x:c r="H64" s="107"/>
      <x:c r="I64" s="107"/>
      <x:c r="J64" s="107"/>
      <x:c r="K64" s="107"/>
      <x:c r="L64" s="107"/>
      <x:c r="M64" s="107"/>
      <x:c r="N64" s="107"/>
      <x:c r="O64" s="107"/>
      <x:c r="P64" s="108"/>
      <x:c r="Q64" s="92"/>
      <x:c r="R64" s="92"/>
      <x:c r="S64" s="92"/>
      <x:c r="T64" s="92"/>
      <x:c r="U64" s="92"/>
      <x:c r="V64" s="92"/>
      <x:c r="W64" s="92"/>
      <x:c r="X64" s="92"/>
      <x:c r="Y64" s="92"/>
      <x:c r="Z64" s="92"/>
    </x:row>
    <x:row r="65">
      <x:c r="A65" s="106"/>
      <x:c r="B65" s="165"/>
      <x:c r="C65" s="107"/>
      <x:c r="D65" s="107"/>
      <x:c r="E65" s="107"/>
      <x:c r="F65" s="107"/>
      <x:c r="G65" s="107"/>
      <x:c r="H65" s="107"/>
      <x:c r="I65" s="107"/>
      <x:c r="J65" s="107"/>
      <x:c r="K65" s="107"/>
      <x:c r="L65" s="107"/>
      <x:c r="M65" s="107"/>
      <x:c r="N65" s="107"/>
      <x:c r="O65" s="107"/>
      <x:c r="P65" s="108"/>
      <x:c r="Q65" s="92"/>
      <x:c r="R65" s="92"/>
      <x:c r="S65" s="92"/>
      <x:c r="T65" s="92"/>
      <x:c r="U65" s="92"/>
      <x:c r="V65" s="92"/>
      <x:c r="W65" s="92"/>
      <x:c r="X65" s="92"/>
      <x:c r="Y65" s="92"/>
      <x:c r="Z65" s="92"/>
    </x:row>
    <x:row r="66">
      <x:c r="A66" s="106"/>
      <x:c r="B66" s="165"/>
      <x:c r="C66" s="107"/>
      <x:c r="D66" s="107"/>
      <x:c r="E66" s="107"/>
      <x:c r="F66" s="107"/>
      <x:c r="G66" s="107"/>
      <x:c r="H66" s="107"/>
      <x:c r="I66" s="107"/>
      <x:c r="J66" s="107"/>
      <x:c r="K66" s="107"/>
      <x:c r="L66" s="107"/>
      <x:c r="M66" s="107"/>
      <x:c r="N66" s="107"/>
      <x:c r="O66" s="107"/>
      <x:c r="P66" s="108"/>
      <x:c r="Q66" s="92"/>
      <x:c r="R66" s="92"/>
      <x:c r="S66" s="92"/>
      <x:c r="T66" s="92"/>
      <x:c r="U66" s="92"/>
      <x:c r="V66" s="92"/>
      <x:c r="W66" s="92"/>
      <x:c r="X66" s="92"/>
      <x:c r="Y66" s="92"/>
      <x:c r="Z66" s="92"/>
    </x:row>
    <x:row r="67">
      <x:c r="A67" s="106"/>
      <x:c r="B67" s="165"/>
      <x:c r="C67" s="107"/>
      <x:c r="D67" s="107"/>
      <x:c r="E67" s="107"/>
      <x:c r="F67" s="107"/>
      <x:c r="G67" s="107"/>
      <x:c r="H67" s="107"/>
      <x:c r="I67" s="107"/>
      <x:c r="J67" s="107"/>
      <x:c r="K67" s="107"/>
      <x:c r="L67" s="107"/>
      <x:c r="M67" s="107"/>
      <x:c r="N67" s="107"/>
      <x:c r="O67" s="107"/>
      <x:c r="P67" s="108"/>
      <x:c r="Q67" s="92"/>
      <x:c r="R67" s="92"/>
      <x:c r="S67" s="92"/>
      <x:c r="T67" s="92"/>
      <x:c r="U67" s="92"/>
      <x:c r="V67" s="92"/>
      <x:c r="W67" s="92"/>
      <x:c r="X67" s="92"/>
      <x:c r="Y67" s="92"/>
      <x:c r="Z67" s="92"/>
    </x:row>
    <x:row r="68">
      <x:c r="A68" s="106"/>
      <x:c r="B68" s="165"/>
      <x:c r="C68" s="107"/>
      <x:c r="D68" s="107"/>
      <x:c r="E68" s="107"/>
      <x:c r="F68" s="107"/>
      <x:c r="G68" s="107"/>
      <x:c r="H68" s="107"/>
      <x:c r="I68" s="107"/>
      <x:c r="J68" s="107"/>
      <x:c r="K68" s="107"/>
      <x:c r="L68" s="107"/>
      <x:c r="M68" s="107"/>
      <x:c r="N68" s="107"/>
      <x:c r="O68" s="107"/>
      <x:c r="P68" s="108"/>
      <x:c r="Q68" s="92"/>
      <x:c r="R68" s="92"/>
      <x:c r="S68" s="92"/>
      <x:c r="T68" s="92"/>
      <x:c r="U68" s="92"/>
      <x:c r="V68" s="92"/>
      <x:c r="W68" s="92"/>
      <x:c r="X68" s="92"/>
      <x:c r="Y68" s="92"/>
      <x:c r="Z68" s="92"/>
    </x:row>
    <x:row r="69">
      <x:c r="A69" s="106"/>
      <x:c r="B69" s="165"/>
      <x:c r="C69" s="107"/>
      <x:c r="D69" s="107"/>
      <x:c r="E69" s="107"/>
      <x:c r="F69" s="107"/>
      <x:c r="G69" s="107"/>
      <x:c r="H69" s="107"/>
      <x:c r="I69" s="107"/>
      <x:c r="J69" s="107"/>
      <x:c r="K69" s="107"/>
      <x:c r="L69" s="107"/>
      <x:c r="M69" s="107"/>
      <x:c r="N69" s="107"/>
      <x:c r="O69" s="107"/>
      <x:c r="P69" s="108"/>
      <x:c r="Q69" s="92"/>
      <x:c r="R69" s="92"/>
      <x:c r="S69" s="92"/>
      <x:c r="T69" s="92"/>
      <x:c r="U69" s="92"/>
      <x:c r="V69" s="92"/>
      <x:c r="W69" s="92"/>
      <x:c r="X69" s="92"/>
      <x:c r="Y69" s="92"/>
      <x:c r="Z69" s="92"/>
    </x:row>
    <x:row r="70">
      <x:c r="A70" s="106"/>
      <x:c r="B70" s="165"/>
      <x:c r="C70" s="107"/>
      <x:c r="D70" s="107"/>
      <x:c r="E70" s="107"/>
      <x:c r="F70" s="107"/>
      <x:c r="G70" s="107"/>
      <x:c r="H70" s="107"/>
      <x:c r="I70" s="107"/>
      <x:c r="J70" s="107"/>
      <x:c r="K70" s="107"/>
      <x:c r="L70" s="107"/>
      <x:c r="M70" s="107"/>
      <x:c r="N70" s="107"/>
      <x:c r="O70" s="107"/>
      <x:c r="P70" s="108"/>
      <x:c r="Q70" s="92"/>
      <x:c r="R70" s="92"/>
      <x:c r="S70" s="92"/>
      <x:c r="T70" s="92"/>
      <x:c r="U70" s="92"/>
      <x:c r="V70" s="92"/>
      <x:c r="W70" s="92"/>
      <x:c r="X70" s="92"/>
      <x:c r="Y70" s="92"/>
      <x:c r="Z70" s="92"/>
    </x:row>
    <x:row r="71">
      <x:c r="A71" s="106"/>
      <x:c r="B71" s="165"/>
      <x:c r="C71" s="107"/>
      <x:c r="D71" s="107"/>
      <x:c r="E71" s="107"/>
      <x:c r="F71" s="107"/>
      <x:c r="G71" s="107"/>
      <x:c r="H71" s="107"/>
      <x:c r="I71" s="107"/>
      <x:c r="J71" s="107"/>
      <x:c r="K71" s="107"/>
      <x:c r="L71" s="107"/>
      <x:c r="M71" s="107"/>
      <x:c r="N71" s="107"/>
      <x:c r="O71" s="107"/>
      <x:c r="P71" s="108"/>
      <x:c r="Q71" s="92"/>
      <x:c r="R71" s="92"/>
      <x:c r="S71" s="92"/>
      <x:c r="T71" s="92"/>
      <x:c r="U71" s="92"/>
      <x:c r="V71" s="92"/>
      <x:c r="W71" s="92"/>
      <x:c r="X71" s="92"/>
      <x:c r="Y71" s="92"/>
      <x:c r="Z71" s="92"/>
    </x:row>
    <x:row r="72">
      <x:c r="A72" s="106"/>
      <x:c r="B72" s="165"/>
      <x:c r="C72" s="107"/>
      <x:c r="D72" s="107"/>
      <x:c r="E72" s="107"/>
      <x:c r="F72" s="107"/>
      <x:c r="G72" s="107"/>
      <x:c r="H72" s="107"/>
      <x:c r="I72" s="107"/>
      <x:c r="J72" s="107"/>
      <x:c r="K72" s="107"/>
      <x:c r="L72" s="107"/>
      <x:c r="M72" s="107"/>
      <x:c r="N72" s="107"/>
      <x:c r="O72" s="107"/>
      <x:c r="P72" s="108"/>
      <x:c r="Q72" s="92"/>
      <x:c r="R72" s="92"/>
      <x:c r="S72" s="92"/>
      <x:c r="T72" s="92"/>
      <x:c r="U72" s="92"/>
      <x:c r="V72" s="92"/>
      <x:c r="W72" s="92"/>
      <x:c r="X72" s="92"/>
      <x:c r="Y72" s="92"/>
      <x:c r="Z72" s="92"/>
    </x:row>
    <x:row r="73">
      <x:c r="A73" s="106"/>
      <x:c r="B73" s="165"/>
      <x:c r="C73" s="107"/>
      <x:c r="D73" s="107"/>
      <x:c r="E73" s="107"/>
      <x:c r="F73" s="107"/>
      <x:c r="G73" s="107"/>
      <x:c r="H73" s="107"/>
      <x:c r="I73" s="107"/>
      <x:c r="J73" s="107"/>
      <x:c r="K73" s="107"/>
      <x:c r="L73" s="107"/>
      <x:c r="M73" s="107"/>
      <x:c r="N73" s="107"/>
      <x:c r="O73" s="107"/>
      <x:c r="P73" s="108"/>
      <x:c r="Q73" s="92"/>
      <x:c r="R73" s="92"/>
      <x:c r="S73" s="92"/>
      <x:c r="T73" s="92"/>
      <x:c r="U73" s="92"/>
      <x:c r="V73" s="92"/>
      <x:c r="W73" s="92"/>
      <x:c r="X73" s="92"/>
      <x:c r="Y73" s="92"/>
      <x:c r="Z73" s="92"/>
    </x:row>
    <x:row r="74">
      <x:c r="A74" s="106"/>
      <x:c r="B74" s="165"/>
      <x:c r="C74" s="107"/>
      <x:c r="D74" s="107"/>
      <x:c r="E74" s="107"/>
      <x:c r="F74" s="107"/>
      <x:c r="G74" s="107"/>
      <x:c r="H74" s="107"/>
      <x:c r="I74" s="107"/>
      <x:c r="J74" s="107"/>
      <x:c r="K74" s="107"/>
      <x:c r="L74" s="107"/>
      <x:c r="M74" s="107"/>
      <x:c r="N74" s="107"/>
      <x:c r="O74" s="107"/>
      <x:c r="P74" s="108"/>
      <x:c r="Q74" s="92"/>
      <x:c r="R74" s="92"/>
      <x:c r="S74" s="92"/>
      <x:c r="T74" s="92"/>
      <x:c r="U74" s="92"/>
      <x:c r="V74" s="92"/>
      <x:c r="W74" s="92"/>
      <x:c r="X74" s="92"/>
      <x:c r="Y74" s="92"/>
      <x:c r="Z74" s="92"/>
    </x:row>
    <x:row r="75">
      <x:c r="A75" s="106"/>
      <x:c r="B75" s="165"/>
      <x:c r="C75" s="107"/>
      <x:c r="D75" s="107"/>
      <x:c r="E75" s="107"/>
      <x:c r="F75" s="107"/>
      <x:c r="G75" s="107"/>
      <x:c r="H75" s="107"/>
      <x:c r="I75" s="107"/>
      <x:c r="J75" s="107"/>
      <x:c r="K75" s="107"/>
      <x:c r="L75" s="107"/>
      <x:c r="M75" s="107"/>
      <x:c r="N75" s="107"/>
      <x:c r="O75" s="107"/>
      <x:c r="P75" s="108"/>
      <x:c r="Q75" s="92"/>
      <x:c r="R75" s="92"/>
      <x:c r="S75" s="92"/>
      <x:c r="T75" s="92"/>
      <x:c r="U75" s="92"/>
      <x:c r="V75" s="92"/>
      <x:c r="W75" s="92"/>
      <x:c r="X75" s="92"/>
      <x:c r="Y75" s="92"/>
      <x:c r="Z75" s="92"/>
    </x:row>
    <x:row r="76">
      <x:c r="A76" s="106"/>
      <x:c r="B76" s="165"/>
      <x:c r="C76" s="107"/>
      <x:c r="D76" s="107"/>
      <x:c r="E76" s="107"/>
      <x:c r="F76" s="107"/>
      <x:c r="G76" s="107"/>
      <x:c r="H76" s="107"/>
      <x:c r="I76" s="107"/>
      <x:c r="J76" s="107"/>
      <x:c r="K76" s="107"/>
      <x:c r="L76" s="107"/>
      <x:c r="M76" s="107"/>
      <x:c r="N76" s="107"/>
      <x:c r="O76" s="107"/>
      <x:c r="P76" s="108"/>
      <x:c r="Q76" s="92"/>
      <x:c r="R76" s="92"/>
      <x:c r="S76" s="92"/>
      <x:c r="T76" s="92"/>
      <x:c r="U76" s="92"/>
      <x:c r="V76" s="92"/>
      <x:c r="W76" s="92"/>
      <x:c r="X76" s="92"/>
      <x:c r="Y76" s="92"/>
      <x:c r="Z76" s="92"/>
    </x:row>
    <x:row r="77">
      <x:c r="A77" s="106"/>
      <x:c r="B77" s="165"/>
      <x:c r="C77" s="107"/>
      <x:c r="D77" s="107"/>
      <x:c r="E77" s="107"/>
      <x:c r="F77" s="107"/>
      <x:c r="G77" s="107"/>
      <x:c r="H77" s="107"/>
      <x:c r="I77" s="107"/>
      <x:c r="J77" s="107"/>
      <x:c r="K77" s="107"/>
      <x:c r="L77" s="107"/>
      <x:c r="M77" s="107"/>
      <x:c r="N77" s="107"/>
      <x:c r="O77" s="107"/>
      <x:c r="P77" s="108"/>
      <x:c r="Q77" s="92"/>
      <x:c r="R77" s="92"/>
      <x:c r="S77" s="92"/>
      <x:c r="T77" s="92"/>
      <x:c r="U77" s="92"/>
      <x:c r="V77" s="92"/>
      <x:c r="W77" s="92"/>
      <x:c r="X77" s="92"/>
      <x:c r="Y77" s="92"/>
      <x:c r="Z77" s="92"/>
    </x:row>
    <x:row r="78">
      <x:c r="A78" s="106"/>
      <x:c r="B78" s="165"/>
      <x:c r="C78" s="107"/>
      <x:c r="D78" s="107"/>
      <x:c r="E78" s="107"/>
      <x:c r="F78" s="107"/>
      <x:c r="G78" s="107"/>
      <x:c r="H78" s="107"/>
      <x:c r="I78" s="107"/>
      <x:c r="J78" s="107"/>
      <x:c r="K78" s="107"/>
      <x:c r="L78" s="107"/>
      <x:c r="M78" s="107"/>
      <x:c r="N78" s="107"/>
      <x:c r="O78" s="107"/>
      <x:c r="P78" s="108"/>
      <x:c r="Q78" s="92"/>
      <x:c r="R78" s="92"/>
      <x:c r="S78" s="92"/>
      <x:c r="T78" s="92"/>
      <x:c r="U78" s="92"/>
      <x:c r="V78" s="92"/>
      <x:c r="W78" s="92"/>
      <x:c r="X78" s="92"/>
      <x:c r="Y78" s="92"/>
      <x:c r="Z78" s="92"/>
    </x:row>
    <x:row r="79">
      <x:c r="A79" s="106"/>
      <x:c r="B79" s="165"/>
      <x:c r="C79" s="107"/>
      <x:c r="D79" s="107"/>
      <x:c r="E79" s="107"/>
      <x:c r="F79" s="107"/>
      <x:c r="G79" s="107"/>
      <x:c r="H79" s="107"/>
      <x:c r="I79" s="107"/>
      <x:c r="J79" s="107"/>
      <x:c r="K79" s="107"/>
      <x:c r="L79" s="107"/>
      <x:c r="M79" s="107"/>
      <x:c r="N79" s="107"/>
      <x:c r="O79" s="107"/>
      <x:c r="P79" s="108"/>
      <x:c r="Q79" s="92"/>
      <x:c r="R79" s="92"/>
      <x:c r="S79" s="92"/>
      <x:c r="T79" s="92"/>
      <x:c r="U79" s="92"/>
      <x:c r="V79" s="92"/>
      <x:c r="W79" s="92"/>
      <x:c r="X79" s="92"/>
      <x:c r="Y79" s="92"/>
      <x:c r="Z79" s="92"/>
    </x:row>
    <x:row r="80">
      <x:c r="A80" s="106"/>
      <x:c r="B80" s="165"/>
      <x:c r="C80" s="107"/>
      <x:c r="D80" s="107"/>
      <x:c r="E80" s="107"/>
      <x:c r="F80" s="107"/>
      <x:c r="G80" s="107"/>
      <x:c r="H80" s="107"/>
      <x:c r="I80" s="107"/>
      <x:c r="J80" s="107"/>
      <x:c r="K80" s="107"/>
      <x:c r="L80" s="107"/>
      <x:c r="M80" s="107"/>
      <x:c r="N80" s="107"/>
      <x:c r="O80" s="107"/>
      <x:c r="P80" s="108"/>
      <x:c r="Q80" s="92"/>
      <x:c r="R80" s="92"/>
      <x:c r="S80" s="92"/>
      <x:c r="T80" s="92"/>
      <x:c r="U80" s="92"/>
      <x:c r="V80" s="92"/>
      <x:c r="W80" s="92"/>
      <x:c r="X80" s="92"/>
      <x:c r="Y80" s="92"/>
      <x:c r="Z80" s="92"/>
    </x:row>
    <x:row r="81">
      <x:c r="A81" s="106"/>
      <x:c r="B81" s="165"/>
      <x:c r="C81" s="107"/>
      <x:c r="D81" s="107"/>
      <x:c r="E81" s="107"/>
      <x:c r="F81" s="107"/>
      <x:c r="G81" s="107"/>
      <x:c r="H81" s="107"/>
      <x:c r="I81" s="107"/>
      <x:c r="J81" s="107"/>
      <x:c r="K81" s="107"/>
      <x:c r="L81" s="107"/>
      <x:c r="M81" s="107"/>
      <x:c r="N81" s="107"/>
      <x:c r="O81" s="107"/>
      <x:c r="P81" s="108"/>
      <x:c r="Q81" s="92"/>
      <x:c r="R81" s="92"/>
      <x:c r="S81" s="92"/>
      <x:c r="T81" s="92"/>
      <x:c r="U81" s="92"/>
      <x:c r="V81" s="92"/>
      <x:c r="W81" s="92"/>
      <x:c r="X81" s="92"/>
      <x:c r="Y81" s="92"/>
      <x:c r="Z81" s="92"/>
    </x:row>
    <x:row r="82">
      <x:c r="A82" s="106"/>
      <x:c r="B82" s="165"/>
      <x:c r="C82" s="107"/>
      <x:c r="D82" s="107"/>
      <x:c r="E82" s="107"/>
      <x:c r="F82" s="107"/>
      <x:c r="G82" s="107"/>
      <x:c r="H82" s="107"/>
      <x:c r="I82" s="107"/>
      <x:c r="J82" s="107"/>
      <x:c r="K82" s="107"/>
      <x:c r="L82" s="107"/>
      <x:c r="M82" s="107"/>
      <x:c r="N82" s="107"/>
      <x:c r="O82" s="107"/>
      <x:c r="P82" s="108"/>
      <x:c r="Q82" s="92"/>
      <x:c r="R82" s="92"/>
      <x:c r="S82" s="92"/>
      <x:c r="T82" s="92"/>
      <x:c r="U82" s="92"/>
      <x:c r="V82" s="92"/>
      <x:c r="W82" s="92"/>
      <x:c r="X82" s="92"/>
      <x:c r="Y82" s="92"/>
      <x:c r="Z82" s="92"/>
    </x:row>
    <x:row r="83">
      <x:c r="A83" s="106"/>
      <x:c r="B83" s="165"/>
      <x:c r="C83" s="107"/>
      <x:c r="D83" s="107"/>
      <x:c r="E83" s="107"/>
      <x:c r="F83" s="107"/>
      <x:c r="G83" s="107"/>
      <x:c r="H83" s="107"/>
      <x:c r="I83" s="107"/>
      <x:c r="J83" s="107"/>
      <x:c r="K83" s="107"/>
      <x:c r="L83" s="107"/>
      <x:c r="M83" s="107"/>
      <x:c r="N83" s="107"/>
      <x:c r="O83" s="107"/>
      <x:c r="P83" s="108"/>
      <x:c r="Q83" s="92"/>
      <x:c r="R83" s="92"/>
      <x:c r="S83" s="92"/>
      <x:c r="T83" s="92"/>
      <x:c r="U83" s="92"/>
      <x:c r="V83" s="92"/>
      <x:c r="W83" s="92"/>
      <x:c r="X83" s="92"/>
      <x:c r="Y83" s="92"/>
      <x:c r="Z83" s="92"/>
    </x:row>
    <x:row r="84">
      <x:c r="A84" s="106"/>
      <x:c r="B84" s="165"/>
      <x:c r="C84" s="107"/>
      <x:c r="D84" s="107"/>
      <x:c r="E84" s="107"/>
      <x:c r="F84" s="107"/>
      <x:c r="G84" s="107"/>
      <x:c r="H84" s="107"/>
      <x:c r="I84" s="107"/>
      <x:c r="J84" s="107"/>
      <x:c r="K84" s="107"/>
      <x:c r="L84" s="107"/>
      <x:c r="M84" s="107"/>
      <x:c r="N84" s="107"/>
      <x:c r="O84" s="107"/>
      <x:c r="P84" s="108"/>
      <x:c r="Q84" s="92"/>
      <x:c r="R84" s="92"/>
      <x:c r="S84" s="92"/>
      <x:c r="T84" s="92"/>
      <x:c r="U84" s="92"/>
      <x:c r="V84" s="92"/>
      <x:c r="W84" s="92"/>
      <x:c r="X84" s="92"/>
      <x:c r="Y84" s="92"/>
      <x:c r="Z84" s="92"/>
    </x:row>
    <x:row r="85">
      <x:c r="A85" s="106"/>
      <x:c r="B85" s="165"/>
      <x:c r="C85" s="107"/>
      <x:c r="D85" s="107"/>
      <x:c r="E85" s="107"/>
      <x:c r="F85" s="107"/>
      <x:c r="G85" s="107"/>
      <x:c r="H85" s="107"/>
      <x:c r="I85" s="107"/>
      <x:c r="J85" s="107"/>
      <x:c r="K85" s="107"/>
      <x:c r="L85" s="107"/>
      <x:c r="M85" s="107"/>
      <x:c r="N85" s="107"/>
      <x:c r="O85" s="107"/>
      <x:c r="P85" s="108"/>
      <x:c r="Q85" s="92"/>
      <x:c r="R85" s="92"/>
      <x:c r="S85" s="92"/>
      <x:c r="T85" s="92"/>
      <x:c r="U85" s="92"/>
      <x:c r="V85" s="92"/>
      <x:c r="W85" s="92"/>
      <x:c r="X85" s="92"/>
      <x:c r="Y85" s="92"/>
      <x:c r="Z85" s="92"/>
    </x:row>
    <x:row r="86">
      <x:c r="A86" s="106"/>
      <x:c r="B86" s="165"/>
      <x:c r="C86" s="107"/>
      <x:c r="D86" s="107"/>
      <x:c r="E86" s="107"/>
      <x:c r="F86" s="107"/>
      <x:c r="G86" s="107"/>
      <x:c r="H86" s="107"/>
      <x:c r="I86" s="107"/>
      <x:c r="J86" s="107"/>
      <x:c r="K86" s="107"/>
      <x:c r="L86" s="107"/>
      <x:c r="M86" s="107"/>
      <x:c r="N86" s="107"/>
      <x:c r="O86" s="107"/>
      <x:c r="P86" s="108"/>
      <x:c r="Q86" s="92"/>
      <x:c r="R86" s="92"/>
      <x:c r="S86" s="92"/>
      <x:c r="T86" s="92"/>
      <x:c r="U86" s="92"/>
      <x:c r="V86" s="92"/>
      <x:c r="W86" s="92"/>
      <x:c r="X86" s="92"/>
      <x:c r="Y86" s="92"/>
      <x:c r="Z86" s="92"/>
    </x:row>
    <x:row r="87">
      <x:c r="A87" s="106"/>
      <x:c r="B87" s="165"/>
      <x:c r="C87" s="107"/>
      <x:c r="D87" s="107"/>
      <x:c r="E87" s="107"/>
      <x:c r="F87" s="107"/>
      <x:c r="G87" s="107"/>
      <x:c r="H87" s="107"/>
      <x:c r="I87" s="107"/>
      <x:c r="J87" s="107"/>
      <x:c r="K87" s="107"/>
      <x:c r="L87" s="107"/>
      <x:c r="M87" s="107"/>
      <x:c r="N87" s="107"/>
      <x:c r="O87" s="107"/>
      <x:c r="P87" s="108"/>
      <x:c r="Q87" s="92"/>
      <x:c r="R87" s="92"/>
      <x:c r="S87" s="92"/>
      <x:c r="T87" s="92"/>
      <x:c r="U87" s="92"/>
      <x:c r="V87" s="92"/>
      <x:c r="W87" s="92"/>
      <x:c r="X87" s="92"/>
      <x:c r="Y87" s="92"/>
      <x:c r="Z87" s="92"/>
    </x:row>
    <x:row r="88">
      <x:c r="A88" s="106"/>
      <x:c r="B88" s="165"/>
      <x:c r="C88" s="107"/>
      <x:c r="D88" s="107"/>
      <x:c r="E88" s="107"/>
      <x:c r="F88" s="107"/>
      <x:c r="G88" s="107"/>
      <x:c r="H88" s="107"/>
      <x:c r="I88" s="107"/>
      <x:c r="J88" s="107"/>
      <x:c r="K88" s="107"/>
      <x:c r="L88" s="107"/>
      <x:c r="M88" s="107"/>
      <x:c r="N88" s="107"/>
      <x:c r="O88" s="107"/>
      <x:c r="P88" s="108"/>
      <x:c r="Q88" s="92"/>
      <x:c r="R88" s="92"/>
      <x:c r="S88" s="92"/>
      <x:c r="T88" s="92"/>
      <x:c r="U88" s="92"/>
      <x:c r="V88" s="92"/>
      <x:c r="W88" s="92"/>
      <x:c r="X88" s="92"/>
      <x:c r="Y88" s="92"/>
      <x:c r="Z88" s="92"/>
    </x:row>
    <x:row r="89">
      <x:c r="A89" s="106"/>
      <x:c r="B89" s="165"/>
      <x:c r="C89" s="107"/>
      <x:c r="D89" s="107"/>
      <x:c r="E89" s="107"/>
      <x:c r="F89" s="107"/>
      <x:c r="G89" s="107"/>
      <x:c r="H89" s="107"/>
      <x:c r="I89" s="107"/>
      <x:c r="J89" s="107"/>
      <x:c r="K89" s="107"/>
      <x:c r="L89" s="107"/>
      <x:c r="M89" s="107"/>
      <x:c r="N89" s="107"/>
      <x:c r="O89" s="107"/>
      <x:c r="P89" s="108"/>
      <x:c r="Q89" s="92"/>
      <x:c r="R89" s="92"/>
      <x:c r="S89" s="92"/>
      <x:c r="T89" s="92"/>
      <x:c r="U89" s="92"/>
      <x:c r="V89" s="92"/>
      <x:c r="W89" s="92"/>
      <x:c r="X89" s="92"/>
      <x:c r="Y89" s="92"/>
      <x:c r="Z89" s="92"/>
    </x:row>
    <x:row r="90">
      <x:c r="A90" s="106"/>
      <x:c r="B90" s="165"/>
      <x:c r="C90" s="107"/>
      <x:c r="D90" s="107"/>
      <x:c r="E90" s="107"/>
      <x:c r="F90" s="107"/>
      <x:c r="G90" s="107"/>
      <x:c r="H90" s="107"/>
      <x:c r="I90" s="107"/>
      <x:c r="J90" s="107"/>
      <x:c r="K90" s="107"/>
      <x:c r="L90" s="107"/>
      <x:c r="M90" s="107"/>
      <x:c r="N90" s="107"/>
      <x:c r="O90" s="107"/>
      <x:c r="P90" s="108"/>
      <x:c r="Q90" s="92"/>
      <x:c r="R90" s="92"/>
      <x:c r="S90" s="92"/>
      <x:c r="T90" s="92"/>
      <x:c r="U90" s="92"/>
      <x:c r="V90" s="92"/>
      <x:c r="W90" s="92"/>
      <x:c r="X90" s="92"/>
      <x:c r="Y90" s="92"/>
      <x:c r="Z90" s="92"/>
    </x:row>
    <x:row r="91">
      <x:c r="A91" s="106"/>
      <x:c r="B91" s="165"/>
      <x:c r="C91" s="107"/>
      <x:c r="D91" s="107"/>
      <x:c r="E91" s="107"/>
      <x:c r="F91" s="107"/>
      <x:c r="G91" s="107"/>
      <x:c r="H91" s="107"/>
      <x:c r="I91" s="107"/>
      <x:c r="J91" s="107"/>
      <x:c r="K91" s="107"/>
      <x:c r="L91" s="107"/>
      <x:c r="M91" s="107"/>
      <x:c r="N91" s="107"/>
      <x:c r="O91" s="107"/>
      <x:c r="P91" s="108"/>
      <x:c r="Q91" s="92"/>
      <x:c r="R91" s="92"/>
      <x:c r="S91" s="92"/>
      <x:c r="T91" s="92"/>
      <x:c r="U91" s="92"/>
      <x:c r="V91" s="92"/>
      <x:c r="W91" s="92"/>
      <x:c r="X91" s="92"/>
      <x:c r="Y91" s="92"/>
      <x:c r="Z91" s="92"/>
    </x:row>
    <x:row r="92">
      <x:c r="A92" s="106"/>
      <x:c r="B92" s="165"/>
      <x:c r="C92" s="107"/>
      <x:c r="D92" s="107"/>
      <x:c r="E92" s="107"/>
      <x:c r="F92" s="107"/>
      <x:c r="G92" s="107"/>
      <x:c r="H92" s="107"/>
      <x:c r="I92" s="107"/>
      <x:c r="J92" s="107"/>
      <x:c r="K92" s="107"/>
      <x:c r="L92" s="107"/>
      <x:c r="M92" s="107"/>
      <x:c r="N92" s="107"/>
      <x:c r="O92" s="107"/>
      <x:c r="P92" s="108"/>
      <x:c r="Q92" s="92"/>
      <x:c r="R92" s="92"/>
      <x:c r="S92" s="92"/>
      <x:c r="T92" s="92"/>
      <x:c r="U92" s="92"/>
      <x:c r="V92" s="92"/>
      <x:c r="W92" s="92"/>
      <x:c r="X92" s="92"/>
      <x:c r="Y92" s="92"/>
      <x:c r="Z92" s="92"/>
    </x:row>
    <x:row r="93">
      <x:c r="A93" s="106"/>
      <x:c r="B93" s="165"/>
      <x:c r="C93" s="107"/>
      <x:c r="D93" s="107"/>
      <x:c r="E93" s="107"/>
      <x:c r="F93" s="107"/>
      <x:c r="G93" s="107"/>
      <x:c r="H93" s="107"/>
      <x:c r="I93" s="107"/>
      <x:c r="J93" s="107"/>
      <x:c r="K93" s="107"/>
      <x:c r="L93" s="107"/>
      <x:c r="M93" s="107"/>
      <x:c r="N93" s="107"/>
      <x:c r="O93" s="107"/>
      <x:c r="P93" s="108"/>
      <x:c r="Q93" s="92"/>
      <x:c r="R93" s="92"/>
      <x:c r="S93" s="92"/>
      <x:c r="T93" s="92"/>
      <x:c r="U93" s="92"/>
      <x:c r="V93" s="92"/>
      <x:c r="W93" s="92"/>
      <x:c r="X93" s="92"/>
      <x:c r="Y93" s="92"/>
      <x:c r="Z93" s="92"/>
    </x:row>
    <x:row r="94">
      <x:c r="A94" s="106"/>
      <x:c r="B94" s="165"/>
      <x:c r="C94" s="107"/>
      <x:c r="D94" s="107"/>
      <x:c r="E94" s="107"/>
      <x:c r="F94" s="107"/>
      <x:c r="G94" s="107"/>
      <x:c r="H94" s="107"/>
      <x:c r="I94" s="107"/>
      <x:c r="J94" s="107"/>
      <x:c r="K94" s="107"/>
      <x:c r="L94" s="107"/>
      <x:c r="M94" s="107"/>
      <x:c r="N94" s="107"/>
      <x:c r="O94" s="107"/>
      <x:c r="P94" s="108"/>
      <x:c r="Q94" s="92"/>
      <x:c r="R94" s="92"/>
      <x:c r="S94" s="92"/>
      <x:c r="T94" s="92"/>
      <x:c r="U94" s="92"/>
      <x:c r="V94" s="92"/>
      <x:c r="W94" s="92"/>
      <x:c r="X94" s="92"/>
      <x:c r="Y94" s="92"/>
      <x:c r="Z94" s="92"/>
    </x:row>
    <x:row r="95">
      <x:c r="A95" s="106"/>
      <x:c r="B95" s="165"/>
      <x:c r="C95" s="107"/>
      <x:c r="D95" s="107"/>
      <x:c r="E95" s="107"/>
      <x:c r="F95" s="107"/>
      <x:c r="G95" s="107"/>
      <x:c r="H95" s="107"/>
      <x:c r="I95" s="107"/>
      <x:c r="J95" s="107"/>
      <x:c r="K95" s="107"/>
      <x:c r="L95" s="107"/>
      <x:c r="M95" s="107"/>
      <x:c r="N95" s="107"/>
      <x:c r="O95" s="107"/>
      <x:c r="P95" s="108"/>
      <x:c r="Q95" s="92"/>
      <x:c r="R95" s="92"/>
      <x:c r="S95" s="92"/>
      <x:c r="T95" s="92"/>
      <x:c r="U95" s="92"/>
      <x:c r="V95" s="92"/>
      <x:c r="W95" s="92"/>
      <x:c r="X95" s="92"/>
      <x:c r="Y95" s="92"/>
      <x:c r="Z95" s="92"/>
    </x:row>
    <x:row r="96">
      <x:c r="A96" s="106"/>
      <x:c r="B96" s="165"/>
      <x:c r="C96" s="107"/>
      <x:c r="D96" s="107"/>
      <x:c r="E96" s="107"/>
      <x:c r="F96" s="107"/>
      <x:c r="G96" s="107"/>
      <x:c r="H96" s="107"/>
      <x:c r="I96" s="107"/>
      <x:c r="J96" s="107"/>
      <x:c r="K96" s="107"/>
      <x:c r="L96" s="107"/>
      <x:c r="M96" s="107"/>
      <x:c r="N96" s="107"/>
      <x:c r="O96" s="107"/>
      <x:c r="P96" s="108"/>
      <x:c r="Q96" s="92"/>
      <x:c r="R96" s="92"/>
      <x:c r="S96" s="92"/>
      <x:c r="T96" s="92"/>
      <x:c r="U96" s="92"/>
      <x:c r="V96" s="92"/>
      <x:c r="W96" s="92"/>
      <x:c r="X96" s="92"/>
      <x:c r="Y96" s="92"/>
      <x:c r="Z96" s="92"/>
    </x:row>
    <x:row r="97">
      <x:c r="A97" s="106"/>
      <x:c r="B97" s="165"/>
      <x:c r="C97" s="107"/>
      <x:c r="D97" s="107"/>
      <x:c r="E97" s="107"/>
      <x:c r="F97" s="107"/>
      <x:c r="G97" s="107"/>
      <x:c r="H97" s="107"/>
      <x:c r="I97" s="107"/>
      <x:c r="J97" s="107"/>
      <x:c r="K97" s="107"/>
      <x:c r="L97" s="107"/>
      <x:c r="M97" s="107"/>
      <x:c r="N97" s="107"/>
      <x:c r="O97" s="107"/>
      <x:c r="P97" s="108"/>
      <x:c r="Q97" s="92"/>
      <x:c r="R97" s="92"/>
      <x:c r="S97" s="92"/>
      <x:c r="T97" s="92"/>
      <x:c r="U97" s="92"/>
      <x:c r="V97" s="92"/>
      <x:c r="W97" s="92"/>
      <x:c r="X97" s="92"/>
      <x:c r="Y97" s="92"/>
      <x:c r="Z97" s="92"/>
    </x:row>
    <x:row r="98">
      <x:c r="A98" s="106"/>
      <x:c r="B98" s="165"/>
      <x:c r="C98" s="107"/>
      <x:c r="D98" s="107"/>
      <x:c r="E98" s="107"/>
      <x:c r="F98" s="107"/>
      <x:c r="G98" s="107"/>
      <x:c r="H98" s="107"/>
      <x:c r="I98" s="107"/>
      <x:c r="J98" s="107"/>
      <x:c r="K98" s="107"/>
      <x:c r="L98" s="107"/>
      <x:c r="M98" s="107"/>
      <x:c r="N98" s="107"/>
      <x:c r="O98" s="107"/>
      <x:c r="P98" s="108"/>
      <x:c r="Q98" s="92"/>
      <x:c r="R98" s="92"/>
      <x:c r="S98" s="92"/>
      <x:c r="T98" s="92"/>
      <x:c r="U98" s="92"/>
      <x:c r="V98" s="92"/>
      <x:c r="W98" s="92"/>
      <x:c r="X98" s="92"/>
      <x:c r="Y98" s="92"/>
      <x:c r="Z98" s="92"/>
    </x:row>
    <x:row r="99">
      <x:c r="A99" s="106"/>
      <x:c r="B99" s="165"/>
      <x:c r="C99" s="107"/>
      <x:c r="D99" s="107"/>
      <x:c r="E99" s="107"/>
      <x:c r="F99" s="107"/>
      <x:c r="G99" s="107"/>
      <x:c r="H99" s="107"/>
      <x:c r="I99" s="107"/>
      <x:c r="J99" s="107"/>
      <x:c r="K99" s="107"/>
      <x:c r="L99" s="107"/>
      <x:c r="M99" s="107"/>
      <x:c r="N99" s="107"/>
      <x:c r="O99" s="107"/>
      <x:c r="P99" s="108"/>
      <x:c r="Q99" s="92"/>
      <x:c r="R99" s="92"/>
      <x:c r="S99" s="92"/>
      <x:c r="T99" s="92"/>
      <x:c r="U99" s="92"/>
      <x:c r="V99" s="92"/>
      <x:c r="W99" s="92"/>
      <x:c r="X99" s="92"/>
      <x:c r="Y99" s="92"/>
      <x:c r="Z99" s="92"/>
    </x:row>
    <x:row r="100">
      <x:c r="A100" s="106"/>
      <x:c r="B100" s="165"/>
      <x:c r="C100" s="107"/>
      <x:c r="D100" s="107"/>
      <x:c r="E100" s="107"/>
      <x:c r="F100" s="107"/>
      <x:c r="G100" s="107"/>
      <x:c r="H100" s="107"/>
      <x:c r="I100" s="107"/>
      <x:c r="J100" s="107"/>
      <x:c r="K100" s="107"/>
      <x:c r="L100" s="107"/>
      <x:c r="M100" s="107"/>
      <x:c r="N100" s="107"/>
      <x:c r="O100" s="107"/>
      <x:c r="P100" s="108"/>
      <x:c r="Q100" s="92"/>
      <x:c r="R100" s="92"/>
      <x:c r="S100" s="92"/>
      <x:c r="T100" s="92"/>
      <x:c r="U100" s="92"/>
      <x:c r="V100" s="92"/>
      <x:c r="W100" s="92"/>
      <x:c r="X100" s="92"/>
      <x:c r="Y100" s="92"/>
      <x:c r="Z100" s="92"/>
    </x:row>
    <x:row r="101">
      <x:c r="A101" s="109"/>
      <x:c r="B101" s="166"/>
      <x:c r="C101" s="110"/>
      <x:c r="D101" s="110"/>
      <x:c r="E101" s="110"/>
      <x:c r="F101" s="110"/>
      <x:c r="G101" s="110"/>
      <x:c r="H101" s="110"/>
      <x:c r="I101" s="110"/>
      <x:c r="J101" s="110"/>
      <x:c r="K101" s="110"/>
      <x:c r="L101" s="110"/>
      <x:c r="M101" s="110"/>
      <x:c r="N101" s="110"/>
      <x:c r="O101" s="110"/>
      <x:c r="P101" s="111"/>
      <x:c r="Q101" s="92"/>
      <x:c r="R101" s="92"/>
      <x:c r="S101" s="92"/>
      <x:c r="T101" s="92"/>
      <x:c r="U101" s="92"/>
      <x:c r="V101" s="92"/>
      <x:c r="W101" s="92"/>
      <x:c r="X101" s="92"/>
      <x:c r="Y101" s="92"/>
      <x:c r="Z101" s="92"/>
    </x:row>
    <x:row r="102">
      <x:c r="A102" s="92"/>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2"/>
      <x:c r="X102" s="92"/>
      <x:c r="Y102" s="92"/>
      <x:c r="Z102" s="92"/>
    </x:row>
    <x:row r="103">
      <x:c r="A103" s="92"/>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2"/>
      <x:c r="X103" s="92"/>
      <x:c r="Y103" s="92"/>
      <x:c r="Z103" s="92"/>
    </x:row>
    <x:row r="104">
      <x:c r="A104" s="92"/>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2"/>
      <x:c r="X104" s="92"/>
      <x:c r="Y104" s="92"/>
      <x:c r="Z104" s="92"/>
    </x:row>
    <x:row r="105">
      <x:c r="A105" s="92"/>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2"/>
      <x:c r="X105" s="92"/>
      <x:c r="Y105" s="92"/>
      <x:c r="Z105" s="92"/>
    </x:row>
    <x:row r="106">
      <x:c r="A106" s="92"/>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2"/>
      <x:c r="X106" s="92"/>
      <x:c r="Y106" s="92"/>
      <x:c r="Z106" s="92"/>
    </x:row>
    <x:row r="107">
      <x:c r="A107" s="92"/>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2"/>
      <x:c r="X107" s="92"/>
      <x:c r="Y107" s="92"/>
      <x:c r="Z107" s="92"/>
    </x:row>
    <x:row r="108">
      <x:c r="A108" s="92"/>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2"/>
      <x:c r="X108" s="92"/>
      <x:c r="Y108" s="92"/>
      <x:c r="Z108" s="92"/>
    </x:row>
    <x:row r="109">
      <x:c r="A109" s="92"/>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2"/>
      <x:c r="X109" s="92"/>
      <x:c r="Y109" s="92"/>
      <x:c r="Z109" s="92"/>
    </x:row>
    <x:row r="110">
      <x:c r="A110" s="92"/>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2"/>
      <x:c r="X110" s="92"/>
      <x:c r="Y110" s="92"/>
      <x:c r="Z110" s="92"/>
    </x:row>
    <x:row r="111">
      <x:c r="A111" s="92"/>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2"/>
      <x:c r="X111" s="92"/>
      <x:c r="Y111" s="92"/>
      <x:c r="Z111" s="92"/>
    </x:row>
    <x:row r="112">
      <x:c r="A112" s="92"/>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2"/>
      <x:c r="X112" s="92"/>
      <x:c r="Y112" s="92"/>
      <x:c r="Z112" s="92"/>
    </x:row>
    <x:row r="113">
      <x:c r="A113" s="92"/>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2"/>
      <x:c r="X113" s="92"/>
      <x:c r="Y113" s="92"/>
      <x:c r="Z113" s="92"/>
    </x:row>
    <x:row r="114">
      <x:c r="A114" s="92"/>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2"/>
      <x:c r="X114" s="92"/>
      <x:c r="Y114" s="92"/>
      <x:c r="Z114" s="92"/>
    </x:row>
    <x:row r="115">
      <x:c r="A115" s="92"/>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2"/>
      <x:c r="X115" s="92"/>
      <x:c r="Y115" s="92"/>
      <x:c r="Z115" s="92"/>
    </x:row>
    <x:row r="116">
      <x:c r="A116" s="92"/>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2"/>
      <x:c r="X116" s="92"/>
      <x:c r="Y116" s="92"/>
      <x:c r="Z116" s="92"/>
    </x:row>
    <x:row r="117">
      <x:c r="A117" s="92"/>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2"/>
      <x:c r="X117" s="92"/>
      <x:c r="Y117" s="92"/>
      <x:c r="Z117" s="92"/>
    </x:row>
    <x:row r="118">
      <x:c r="A118" s="92"/>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2"/>
      <x:c r="X118" s="92"/>
      <x:c r="Y118" s="92"/>
      <x:c r="Z118" s="92"/>
    </x:row>
    <x:row r="119">
      <x:c r="A119" s="92"/>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2"/>
      <x:c r="X119" s="92"/>
      <x:c r="Y119" s="92"/>
      <x:c r="Z119" s="92"/>
    </x:row>
    <x:row r="120">
      <x:c r="A120" s="92"/>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2"/>
      <x:c r="X120" s="92"/>
      <x:c r="Y120" s="92"/>
      <x:c r="Z120" s="92"/>
    </x:row>
    <x:row r="121">
      <x:c r="A121" s="92"/>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2"/>
      <x:c r="X121" s="92"/>
      <x:c r="Y121" s="92"/>
      <x:c r="Z121" s="92"/>
    </x:row>
    <x:row r="122">
      <x:c r="A122" s="92"/>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2"/>
      <x:c r="X122" s="92"/>
      <x:c r="Y122" s="92"/>
      <x:c r="Z122" s="92"/>
    </x:row>
    <x:row r="123">
      <x:c r="A123" s="92"/>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2"/>
      <x:c r="X123" s="92"/>
      <x:c r="Y123" s="92"/>
      <x:c r="Z123" s="92"/>
    </x:row>
    <x:row r="124">
      <x:c r="A124" s="92"/>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2"/>
      <x:c r="X124" s="92"/>
      <x:c r="Y124" s="92"/>
      <x:c r="Z124" s="92"/>
    </x:row>
    <x:row r="125">
      <x:c r="A125" s="92"/>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2"/>
      <x:c r="X125" s="92"/>
      <x:c r="Y125" s="92"/>
      <x:c r="Z125" s="92"/>
    </x:row>
    <x:row r="126">
      <x:c r="A126" s="92"/>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2"/>
      <x:c r="X126" s="92"/>
      <x:c r="Y126" s="92"/>
      <x:c r="Z126" s="92"/>
    </x:row>
    <x:row r="127">
      <x:c r="A127" s="92"/>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2"/>
      <x:c r="X127" s="92"/>
      <x:c r="Y127" s="92"/>
      <x:c r="Z127" s="92"/>
    </x:row>
    <x:row r="128">
      <x:c r="A128" s="92"/>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2"/>
      <x:c r="X128" s="92"/>
      <x:c r="Y128" s="92"/>
      <x:c r="Z128" s="92"/>
    </x:row>
    <x:row r="129">
      <x:c r="A129" s="92"/>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2"/>
      <x:c r="X129" s="92"/>
      <x:c r="Y129" s="92"/>
      <x:c r="Z129" s="92"/>
    </x:row>
    <x:row r="130">
      <x:c r="A130" s="92"/>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2"/>
      <x:c r="X130" s="92"/>
      <x:c r="Y130" s="92"/>
      <x:c r="Z130" s="92"/>
    </x:row>
    <x:row r="131">
      <x:c r="A131" s="92"/>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2"/>
      <x:c r="X131" s="92"/>
      <x:c r="Y131" s="92"/>
      <x:c r="Z131" s="92"/>
    </x:row>
    <x:row r="132">
      <x:c r="A132" s="92"/>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2"/>
      <x:c r="X132" s="92"/>
      <x:c r="Y132" s="92"/>
      <x:c r="Z132" s="92"/>
    </x:row>
    <x:row r="133">
      <x:c r="A133" s="92"/>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2"/>
      <x:c r="X133" s="92"/>
      <x:c r="Y133" s="92"/>
      <x:c r="Z133" s="92"/>
    </x:row>
    <x:row r="134">
      <x:c r="A134" s="92"/>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2"/>
      <x:c r="X134" s="92"/>
      <x:c r="Y134" s="92"/>
      <x:c r="Z134" s="92"/>
    </x:row>
    <x:row r="135">
      <x:c r="A135" s="92"/>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2"/>
      <x:c r="X135" s="92"/>
      <x:c r="Y135" s="92"/>
      <x:c r="Z135" s="92"/>
    </x:row>
    <x:row r="136">
      <x:c r="A136" s="92"/>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2"/>
      <x:c r="X136" s="92"/>
      <x:c r="Y136" s="92"/>
      <x:c r="Z136" s="92"/>
    </x:row>
    <x:row r="137">
      <x:c r="A137" s="92"/>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2"/>
      <x:c r="X137" s="92"/>
      <x:c r="Y137" s="92"/>
      <x:c r="Z137" s="92"/>
    </x:row>
    <x:row r="138">
      <x:c r="A138" s="92"/>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2"/>
      <x:c r="X138" s="92"/>
      <x:c r="Y138" s="92"/>
      <x:c r="Z138" s="92"/>
    </x:row>
    <x:row r="139">
      <x:c r="A139" s="92"/>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2"/>
      <x:c r="X139" s="92"/>
      <x:c r="Y139" s="92"/>
      <x:c r="Z139" s="92"/>
    </x:row>
    <x:row r="140">
      <x:c r="A140" s="92"/>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2"/>
      <x:c r="X140" s="92"/>
      <x:c r="Y140" s="92"/>
      <x:c r="Z140" s="92"/>
    </x:row>
    <x:row r="141">
      <x:c r="A141" s="92"/>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2"/>
      <x:c r="X141" s="92"/>
      <x:c r="Y141" s="92"/>
      <x:c r="Z141" s="92"/>
    </x:row>
    <x:row r="142">
      <x:c r="A142" s="92"/>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2"/>
      <x:c r="X142" s="92"/>
      <x:c r="Y142" s="92"/>
      <x:c r="Z142" s="92"/>
    </x:row>
    <x:row r="143">
      <x:c r="A143" s="92"/>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2"/>
      <x:c r="X143" s="92"/>
      <x:c r="Y143" s="92"/>
      <x:c r="Z143" s="92"/>
    </x:row>
    <x:row r="144">
      <x:c r="A144" s="92"/>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2"/>
      <x:c r="X144" s="92"/>
      <x:c r="Y144" s="92"/>
      <x:c r="Z144" s="92"/>
    </x:row>
    <x:row r="145">
      <x:c r="A145" s="92"/>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2"/>
      <x:c r="X145" s="92"/>
      <x:c r="Y145" s="92"/>
      <x:c r="Z145" s="92"/>
    </x:row>
    <x:row r="146">
      <x:c r="A146" s="92"/>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2"/>
      <x:c r="X146" s="92"/>
      <x:c r="Y146" s="92"/>
      <x:c r="Z146" s="92"/>
    </x:row>
    <x:row r="147">
      <x:c r="A147" s="92"/>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2"/>
      <x:c r="X147" s="92"/>
      <x:c r="Y147" s="92"/>
      <x:c r="Z147" s="92"/>
    </x:row>
    <x:row r="148">
      <x:c r="A148" s="92"/>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2"/>
      <x:c r="X148" s="92"/>
      <x:c r="Y148" s="92"/>
      <x:c r="Z148" s="92"/>
    </x:row>
    <x:row r="149">
      <x:c r="A149" s="92"/>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2"/>
      <x:c r="X149" s="92"/>
      <x:c r="Y149" s="92"/>
      <x:c r="Z149" s="92"/>
    </x:row>
    <x:row r="150">
      <x:c r="A150" s="92"/>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2"/>
      <x:c r="X150" s="92"/>
      <x:c r="Y150" s="92"/>
      <x:c r="Z150" s="92"/>
    </x:row>
    <x:row r="151">
      <x:c r="A151" s="92"/>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2"/>
      <x:c r="X151" s="92"/>
      <x:c r="Y151" s="92"/>
      <x:c r="Z151" s="92"/>
    </x:row>
    <x:row r="152">
      <x:c r="A152" s="92"/>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2"/>
      <x:c r="X152" s="92"/>
      <x:c r="Y152" s="92"/>
      <x:c r="Z152" s="92"/>
    </x:row>
    <x:row r="153">
      <x:c r="A153" s="92"/>
      <x:c r="B153" s="92"/>
      <x:c r="C153" s="92"/>
      <x:c r="D153" s="92"/>
      <x:c r="E153" s="92"/>
      <x:c r="F153" s="92"/>
      <x:c r="G153" s="92"/>
      <x:c r="H153" s="92"/>
      <x:c r="I153" s="92"/>
      <x:c r="J153" s="92"/>
      <x:c r="K153" s="92"/>
      <x:c r="L153" s="92"/>
      <x:c r="M153" s="92"/>
      <x:c r="N153" s="92"/>
      <x:c r="O153" s="92"/>
      <x:c r="P153" s="92"/>
      <x:c r="Q153" s="92"/>
      <x:c r="R153" s="92"/>
      <x:c r="S153" s="92"/>
      <x:c r="T153" s="92"/>
      <x:c r="U153" s="92"/>
      <x:c r="V153" s="92"/>
      <x:c r="W153" s="92"/>
      <x:c r="X153" s="92"/>
      <x:c r="Y153" s="92"/>
      <x:c r="Z153" s="92"/>
    </x:row>
    <x:row r="154">
      <x:c r="A154" s="92"/>
      <x:c r="B154" s="92"/>
      <x:c r="C154" s="92"/>
      <x:c r="D154" s="92"/>
      <x:c r="E154" s="92"/>
      <x:c r="F154" s="92"/>
      <x:c r="G154" s="92"/>
      <x:c r="H154" s="92"/>
      <x:c r="I154" s="92"/>
      <x:c r="J154" s="92"/>
      <x:c r="K154" s="92"/>
      <x:c r="L154" s="92"/>
      <x:c r="M154" s="92"/>
      <x:c r="N154" s="92"/>
      <x:c r="O154" s="92"/>
      <x:c r="P154" s="92"/>
      <x:c r="Q154" s="92"/>
      <x:c r="R154" s="92"/>
      <x:c r="S154" s="92"/>
      <x:c r="T154" s="92"/>
      <x:c r="U154" s="92"/>
      <x:c r="V154" s="92"/>
      <x:c r="W154" s="92"/>
      <x:c r="X154" s="92"/>
      <x:c r="Y154" s="92"/>
      <x:c r="Z154" s="92"/>
    </x:row>
    <x:row r="155">
      <x:c r="A155" s="92"/>
      <x:c r="B155" s="92"/>
      <x:c r="C155" s="92"/>
      <x:c r="D155" s="92"/>
      <x:c r="E155" s="92"/>
      <x:c r="F155" s="92"/>
      <x:c r="G155" s="92"/>
      <x:c r="H155" s="92"/>
      <x:c r="I155" s="92"/>
      <x:c r="J155" s="92"/>
      <x:c r="K155" s="92"/>
      <x:c r="L155" s="92"/>
      <x:c r="M155" s="92"/>
      <x:c r="N155" s="92"/>
      <x:c r="O155" s="92"/>
      <x:c r="P155" s="92"/>
      <x:c r="Q155" s="92"/>
      <x:c r="R155" s="92"/>
      <x:c r="S155" s="92"/>
      <x:c r="T155" s="92"/>
      <x:c r="U155" s="92"/>
      <x:c r="V155" s="92"/>
      <x:c r="W155" s="92"/>
      <x:c r="X155" s="92"/>
      <x:c r="Y155" s="92"/>
      <x:c r="Z155" s="92"/>
    </x:row>
    <x:row r="156">
      <x:c r="A156" s="92"/>
      <x:c r="B156" s="92"/>
      <x:c r="C156" s="92"/>
      <x:c r="D156" s="92"/>
      <x:c r="E156" s="92"/>
      <x:c r="F156" s="92"/>
      <x:c r="G156" s="92"/>
      <x:c r="H156" s="92"/>
      <x:c r="I156" s="92"/>
      <x:c r="J156" s="92"/>
      <x:c r="K156" s="92"/>
      <x:c r="L156" s="92"/>
      <x:c r="M156" s="92"/>
      <x:c r="N156" s="92"/>
      <x:c r="O156" s="92"/>
      <x:c r="P156" s="92"/>
      <x:c r="Q156" s="92"/>
      <x:c r="R156" s="92"/>
      <x:c r="S156" s="92"/>
      <x:c r="T156" s="92"/>
      <x:c r="U156" s="92"/>
      <x:c r="V156" s="92"/>
      <x:c r="W156" s="92"/>
      <x:c r="X156" s="92"/>
      <x:c r="Y156" s="92"/>
      <x:c r="Z156" s="92"/>
    </x:row>
    <x:row r="157">
      <x:c r="A157" s="92"/>
      <x:c r="B157" s="92"/>
      <x:c r="C157" s="92"/>
      <x:c r="D157" s="92"/>
      <x:c r="E157" s="92"/>
      <x:c r="F157" s="92"/>
      <x:c r="G157" s="92"/>
      <x:c r="H157" s="92"/>
      <x:c r="I157" s="92"/>
      <x:c r="J157" s="92"/>
      <x:c r="K157" s="92"/>
      <x:c r="L157" s="92"/>
      <x:c r="M157" s="92"/>
      <x:c r="N157" s="92"/>
      <x:c r="O157" s="92"/>
      <x:c r="P157" s="92"/>
      <x:c r="Q157" s="92"/>
      <x:c r="R157" s="92"/>
      <x:c r="S157" s="92"/>
      <x:c r="T157" s="92"/>
      <x:c r="U157" s="92"/>
      <x:c r="V157" s="92"/>
      <x:c r="W157" s="92"/>
      <x:c r="X157" s="92"/>
      <x:c r="Y157" s="92"/>
      <x:c r="Z157" s="92"/>
    </x:row>
    <x:row r="158">
      <x:c r="A158" s="92"/>
      <x:c r="B158" s="92"/>
      <x:c r="C158" s="92"/>
      <x:c r="D158" s="92"/>
      <x:c r="E158" s="92"/>
      <x:c r="F158" s="92"/>
      <x:c r="G158" s="92"/>
      <x:c r="H158" s="92"/>
      <x:c r="I158" s="92"/>
      <x:c r="J158" s="92"/>
      <x:c r="K158" s="92"/>
      <x:c r="L158" s="92"/>
      <x:c r="M158" s="92"/>
      <x:c r="N158" s="92"/>
      <x:c r="O158" s="92"/>
      <x:c r="P158" s="92"/>
      <x:c r="Q158" s="92"/>
      <x:c r="R158" s="92"/>
      <x:c r="S158" s="92"/>
      <x:c r="T158" s="92"/>
      <x:c r="U158" s="92"/>
      <x:c r="V158" s="92"/>
      <x:c r="W158" s="92"/>
      <x:c r="X158" s="92"/>
      <x:c r="Y158" s="92"/>
      <x:c r="Z158" s="92"/>
    </x:row>
    <x:row r="159">
      <x:c r="A159" s="92"/>
      <x:c r="B159" s="92"/>
      <x:c r="C159" s="92"/>
      <x:c r="D159" s="92"/>
      <x:c r="E159" s="92"/>
      <x:c r="F159" s="92"/>
      <x:c r="G159" s="92"/>
      <x:c r="H159" s="92"/>
      <x:c r="I159" s="92"/>
      <x:c r="J159" s="92"/>
      <x:c r="K159" s="92"/>
      <x:c r="L159" s="92"/>
      <x:c r="M159" s="92"/>
      <x:c r="N159" s="92"/>
      <x:c r="O159" s="92"/>
      <x:c r="P159" s="92"/>
      <x:c r="Q159" s="92"/>
      <x:c r="R159" s="92"/>
      <x:c r="S159" s="92"/>
      <x:c r="T159" s="92"/>
      <x:c r="U159" s="92"/>
      <x:c r="V159" s="92"/>
      <x:c r="W159" s="92"/>
      <x:c r="X159" s="92"/>
      <x:c r="Y159" s="92"/>
      <x:c r="Z159" s="92"/>
    </x:row>
    <x:row r="160">
      <x:c r="A160" s="92"/>
      <x:c r="B160" s="92"/>
      <x:c r="C160" s="92"/>
      <x:c r="D160" s="92"/>
      <x:c r="E160" s="92"/>
      <x:c r="F160" s="92"/>
      <x:c r="G160" s="92"/>
      <x:c r="H160" s="92"/>
      <x:c r="I160" s="92"/>
      <x:c r="J160" s="92"/>
      <x:c r="K160" s="92"/>
      <x:c r="L160" s="92"/>
      <x:c r="M160" s="92"/>
      <x:c r="N160" s="92"/>
      <x:c r="O160" s="92"/>
      <x:c r="P160" s="92"/>
      <x:c r="Q160" s="92"/>
      <x:c r="R160" s="92"/>
      <x:c r="S160" s="92"/>
      <x:c r="T160" s="92"/>
      <x:c r="U160" s="92"/>
      <x:c r="V160" s="92"/>
      <x:c r="W160" s="92"/>
      <x:c r="X160" s="92"/>
      <x:c r="Y160" s="92"/>
      <x:c r="Z160" s="92"/>
    </x:row>
    <x:row r="161">
      <x:c r="A161" s="92"/>
      <x:c r="B161" s="92"/>
      <x:c r="C161" s="92"/>
      <x:c r="D161" s="92"/>
      <x:c r="E161" s="92"/>
      <x:c r="F161" s="92"/>
      <x:c r="G161" s="92"/>
      <x:c r="H161" s="92"/>
      <x:c r="I161" s="92"/>
      <x:c r="J161" s="92"/>
      <x:c r="K161" s="92"/>
      <x:c r="L161" s="92"/>
      <x:c r="M161" s="92"/>
      <x:c r="N161" s="92"/>
      <x:c r="O161" s="92"/>
      <x:c r="P161" s="92"/>
      <x:c r="Q161" s="92"/>
      <x:c r="R161" s="92"/>
      <x:c r="S161" s="92"/>
      <x:c r="T161" s="92"/>
      <x:c r="U161" s="92"/>
      <x:c r="V161" s="92"/>
      <x:c r="W161" s="92"/>
      <x:c r="X161" s="92"/>
      <x:c r="Y161" s="92"/>
      <x:c r="Z161" s="92"/>
    </x:row>
    <x:row r="162">
      <x:c r="A162" s="92"/>
      <x:c r="B162" s="92"/>
      <x:c r="C162" s="92"/>
      <x:c r="D162" s="92"/>
      <x:c r="E162" s="92"/>
      <x:c r="F162" s="92"/>
      <x:c r="G162" s="92"/>
      <x:c r="H162" s="92"/>
      <x:c r="I162" s="92"/>
      <x:c r="J162" s="92"/>
      <x:c r="K162" s="92"/>
      <x:c r="L162" s="92"/>
      <x:c r="M162" s="92"/>
      <x:c r="N162" s="92"/>
      <x:c r="O162" s="92"/>
      <x:c r="P162" s="92"/>
      <x:c r="Q162" s="92"/>
      <x:c r="R162" s="92"/>
      <x:c r="S162" s="92"/>
      <x:c r="T162" s="92"/>
      <x:c r="U162" s="92"/>
      <x:c r="V162" s="92"/>
      <x:c r="W162" s="92"/>
      <x:c r="X162" s="92"/>
      <x:c r="Y162" s="92"/>
      <x:c r="Z162" s="92"/>
    </x:row>
    <x:row r="163">
      <x:c r="A163" s="92"/>
      <x:c r="B163" s="92"/>
      <x:c r="C163" s="92"/>
      <x:c r="D163" s="92"/>
      <x:c r="E163" s="92"/>
      <x:c r="F163" s="92"/>
      <x:c r="G163" s="92"/>
      <x:c r="H163" s="92"/>
      <x:c r="I163" s="92"/>
      <x:c r="J163" s="92"/>
      <x:c r="K163" s="92"/>
      <x:c r="L163" s="92"/>
      <x:c r="M163" s="92"/>
      <x:c r="N163" s="92"/>
      <x:c r="O163" s="92"/>
      <x:c r="P163" s="92"/>
      <x:c r="Q163" s="92"/>
      <x:c r="R163" s="92"/>
      <x:c r="S163" s="92"/>
      <x:c r="T163" s="92"/>
      <x:c r="U163" s="92"/>
      <x:c r="V163" s="92"/>
      <x:c r="W163" s="92"/>
      <x:c r="X163" s="92"/>
      <x:c r="Y163" s="92"/>
      <x:c r="Z163" s="92"/>
    </x:row>
    <x:row r="164">
      <x:c r="A164" s="92"/>
      <x:c r="B164" s="92"/>
      <x:c r="C164" s="92"/>
      <x:c r="D164" s="92"/>
      <x:c r="E164" s="92"/>
      <x:c r="F164" s="92"/>
      <x:c r="G164" s="92"/>
      <x:c r="H164" s="92"/>
      <x:c r="I164" s="92"/>
      <x:c r="J164" s="92"/>
      <x:c r="K164" s="92"/>
      <x:c r="L164" s="92"/>
      <x:c r="M164" s="92"/>
      <x:c r="N164" s="92"/>
      <x:c r="O164" s="92"/>
      <x:c r="P164" s="92"/>
      <x:c r="Q164" s="92"/>
      <x:c r="R164" s="92"/>
      <x:c r="S164" s="92"/>
      <x:c r="T164" s="92"/>
      <x:c r="U164" s="92"/>
      <x:c r="V164" s="92"/>
      <x:c r="W164" s="92"/>
      <x:c r="X164" s="92"/>
      <x:c r="Y164" s="92"/>
      <x:c r="Z164" s="92"/>
    </x:row>
    <x:row r="165">
      <x:c r="A165" s="92"/>
      <x:c r="B165" s="92"/>
      <x:c r="C165" s="92"/>
      <x:c r="D165" s="92"/>
      <x:c r="E165" s="92"/>
      <x:c r="F165" s="92"/>
      <x:c r="G165" s="92"/>
      <x:c r="H165" s="92"/>
      <x:c r="I165" s="92"/>
      <x:c r="J165" s="92"/>
      <x:c r="K165" s="92"/>
      <x:c r="L165" s="92"/>
      <x:c r="M165" s="92"/>
      <x:c r="N165" s="92"/>
      <x:c r="O165" s="92"/>
      <x:c r="P165" s="92"/>
      <x:c r="Q165" s="92"/>
      <x:c r="R165" s="92"/>
      <x:c r="S165" s="92"/>
      <x:c r="T165" s="92"/>
      <x:c r="U165" s="92"/>
      <x:c r="V165" s="92"/>
      <x:c r="W165" s="92"/>
      <x:c r="X165" s="92"/>
      <x:c r="Y165" s="92"/>
      <x:c r="Z165" s="92"/>
    </x:row>
    <x:row r="166">
      <x:c r="A166" s="92"/>
      <x:c r="B166" s="92"/>
      <x:c r="C166" s="92"/>
      <x:c r="D166" s="92"/>
      <x:c r="E166" s="92"/>
      <x:c r="F166" s="92"/>
      <x:c r="G166" s="92"/>
      <x:c r="H166" s="92"/>
      <x:c r="I166" s="92"/>
      <x:c r="J166" s="92"/>
      <x:c r="K166" s="92"/>
      <x:c r="L166" s="92"/>
      <x:c r="M166" s="92"/>
      <x:c r="N166" s="92"/>
      <x:c r="O166" s="92"/>
      <x:c r="P166" s="92"/>
      <x:c r="Q166" s="92"/>
      <x:c r="R166" s="92"/>
      <x:c r="S166" s="92"/>
      <x:c r="T166" s="92"/>
      <x:c r="U166" s="92"/>
      <x:c r="V166" s="92"/>
      <x:c r="W166" s="92"/>
      <x:c r="X166" s="92"/>
      <x:c r="Y166" s="92"/>
      <x:c r="Z166" s="92"/>
    </x:row>
    <x:row r="167">
      <x:c r="A167" s="92"/>
      <x:c r="B167" s="92"/>
      <x:c r="C167" s="92"/>
      <x:c r="D167" s="92"/>
      <x:c r="E167" s="92"/>
      <x:c r="F167" s="92"/>
      <x:c r="G167" s="92"/>
      <x:c r="H167" s="92"/>
      <x:c r="I167" s="92"/>
      <x:c r="J167" s="92"/>
      <x:c r="K167" s="92"/>
      <x:c r="L167" s="92"/>
      <x:c r="M167" s="92"/>
      <x:c r="N167" s="92"/>
      <x:c r="O167" s="92"/>
      <x:c r="P167" s="92"/>
      <x:c r="Q167" s="92"/>
      <x:c r="R167" s="92"/>
      <x:c r="S167" s="92"/>
      <x:c r="T167" s="92"/>
      <x:c r="U167" s="92"/>
      <x:c r="V167" s="92"/>
      <x:c r="W167" s="92"/>
      <x:c r="X167" s="92"/>
      <x:c r="Y167" s="92"/>
      <x:c r="Z167" s="92"/>
    </x:row>
    <x:row r="168">
      <x:c r="A168" s="92"/>
      <x:c r="B168" s="92"/>
      <x:c r="C168" s="92"/>
      <x:c r="D168" s="92"/>
      <x:c r="E168" s="92"/>
      <x:c r="F168" s="92"/>
      <x:c r="G168" s="92"/>
      <x:c r="H168" s="92"/>
      <x:c r="I168" s="92"/>
      <x:c r="J168" s="92"/>
      <x:c r="K168" s="92"/>
      <x:c r="L168" s="92"/>
      <x:c r="M168" s="92"/>
      <x:c r="N168" s="92"/>
      <x:c r="O168" s="92"/>
      <x:c r="P168" s="92"/>
      <x:c r="Q168" s="92"/>
      <x:c r="R168" s="92"/>
      <x:c r="S168" s="92"/>
      <x:c r="T168" s="92"/>
      <x:c r="U168" s="92"/>
      <x:c r="V168" s="92"/>
      <x:c r="W168" s="92"/>
      <x:c r="X168" s="92"/>
      <x:c r="Y168" s="92"/>
      <x:c r="Z168" s="92"/>
    </x:row>
    <x:row r="169">
      <x:c r="A169" s="92"/>
      <x:c r="B169" s="92"/>
      <x:c r="C169" s="92"/>
      <x:c r="D169" s="92"/>
      <x:c r="E169" s="92"/>
      <x:c r="F169" s="92"/>
      <x:c r="G169" s="92"/>
      <x:c r="H169" s="92"/>
      <x:c r="I169" s="92"/>
      <x:c r="J169" s="92"/>
      <x:c r="K169" s="92"/>
      <x:c r="L169" s="92"/>
      <x:c r="M169" s="92"/>
      <x:c r="N169" s="92"/>
      <x:c r="O169" s="92"/>
      <x:c r="P169" s="92"/>
      <x:c r="Q169" s="92"/>
      <x:c r="R169" s="92"/>
      <x:c r="S169" s="92"/>
      <x:c r="T169" s="92"/>
      <x:c r="U169" s="92"/>
      <x:c r="V169" s="92"/>
      <x:c r="W169" s="92"/>
      <x:c r="X169" s="92"/>
      <x:c r="Y169" s="92"/>
      <x:c r="Z169" s="92"/>
    </x:row>
    <x:row r="170">
      <x:c r="A170" s="92"/>
      <x:c r="B170" s="92"/>
      <x:c r="C170" s="92"/>
      <x:c r="D170" s="92"/>
      <x:c r="E170" s="92"/>
      <x:c r="F170" s="92"/>
      <x:c r="G170" s="92"/>
      <x:c r="H170" s="92"/>
      <x:c r="I170" s="92"/>
      <x:c r="J170" s="92"/>
      <x:c r="K170" s="92"/>
      <x:c r="L170" s="92"/>
      <x:c r="M170" s="92"/>
      <x:c r="N170" s="92"/>
      <x:c r="O170" s="92"/>
      <x:c r="P170" s="92"/>
      <x:c r="Q170" s="92"/>
      <x:c r="R170" s="92"/>
      <x:c r="S170" s="92"/>
      <x:c r="T170" s="92"/>
      <x:c r="U170" s="92"/>
      <x:c r="V170" s="92"/>
      <x:c r="W170" s="92"/>
      <x:c r="X170" s="92"/>
      <x:c r="Y170" s="92"/>
      <x:c r="Z170" s="92"/>
    </x:row>
    <x:row r="171">
      <x:c r="A171" s="92"/>
      <x:c r="B171" s="92"/>
      <x:c r="C171" s="92"/>
      <x:c r="D171" s="92"/>
      <x:c r="E171" s="92"/>
      <x:c r="F171" s="92"/>
      <x:c r="G171" s="92"/>
      <x:c r="H171" s="92"/>
      <x:c r="I171" s="92"/>
      <x:c r="J171" s="92"/>
      <x:c r="K171" s="92"/>
      <x:c r="L171" s="92"/>
      <x:c r="M171" s="92"/>
      <x:c r="N171" s="92"/>
      <x:c r="O171" s="92"/>
      <x:c r="P171" s="92"/>
      <x:c r="Q171" s="92"/>
      <x:c r="R171" s="92"/>
      <x:c r="S171" s="92"/>
      <x:c r="T171" s="92"/>
      <x:c r="U171" s="92"/>
      <x:c r="V171" s="92"/>
      <x:c r="W171" s="92"/>
      <x:c r="X171" s="92"/>
      <x:c r="Y171" s="92"/>
      <x:c r="Z171" s="92"/>
    </x:row>
    <x:row r="172">
      <x:c r="A172" s="92"/>
      <x:c r="B172" s="92"/>
      <x:c r="C172" s="92"/>
      <x:c r="D172" s="92"/>
      <x:c r="E172" s="92"/>
      <x:c r="F172" s="92"/>
      <x:c r="G172" s="92"/>
      <x:c r="H172" s="92"/>
      <x:c r="I172" s="92"/>
      <x:c r="J172" s="92"/>
      <x:c r="K172" s="92"/>
      <x:c r="L172" s="92"/>
      <x:c r="M172" s="92"/>
      <x:c r="N172" s="92"/>
      <x:c r="O172" s="92"/>
      <x:c r="P172" s="92"/>
      <x:c r="Q172" s="92"/>
      <x:c r="R172" s="92"/>
      <x:c r="S172" s="92"/>
      <x:c r="T172" s="92"/>
      <x:c r="U172" s="92"/>
      <x:c r="V172" s="92"/>
      <x:c r="W172" s="92"/>
      <x:c r="X172" s="92"/>
      <x:c r="Y172" s="92"/>
      <x:c r="Z172" s="92"/>
    </x:row>
    <x:row r="173">
      <x:c r="A173" s="92"/>
      <x:c r="B173" s="92"/>
      <x:c r="C173" s="92"/>
      <x:c r="D173" s="92"/>
      <x:c r="E173" s="92"/>
      <x:c r="F173" s="92"/>
      <x:c r="G173" s="92"/>
      <x:c r="H173" s="92"/>
      <x:c r="I173" s="92"/>
      <x:c r="J173" s="92"/>
      <x:c r="K173" s="92"/>
      <x:c r="L173" s="92"/>
      <x:c r="M173" s="92"/>
      <x:c r="N173" s="92"/>
      <x:c r="O173" s="92"/>
      <x:c r="P173" s="92"/>
      <x:c r="Q173" s="92"/>
      <x:c r="R173" s="92"/>
      <x:c r="S173" s="92"/>
      <x:c r="T173" s="92"/>
      <x:c r="U173" s="92"/>
      <x:c r="V173" s="92"/>
      <x:c r="W173" s="92"/>
      <x:c r="X173" s="92"/>
      <x:c r="Y173" s="92"/>
      <x:c r="Z173" s="92"/>
    </x:row>
    <x:row r="174">
      <x:c r="A174" s="92"/>
      <x:c r="B174" s="92"/>
      <x:c r="C174" s="92"/>
      <x:c r="D174" s="92"/>
      <x:c r="E174" s="92"/>
      <x:c r="F174" s="92"/>
      <x:c r="G174" s="92"/>
      <x:c r="H174" s="92"/>
      <x:c r="I174" s="92"/>
      <x:c r="J174" s="92"/>
      <x:c r="K174" s="92"/>
      <x:c r="L174" s="92"/>
      <x:c r="M174" s="92"/>
      <x:c r="N174" s="92"/>
      <x:c r="O174" s="92"/>
      <x:c r="P174" s="92"/>
      <x:c r="Q174" s="92"/>
      <x:c r="R174" s="92"/>
      <x:c r="S174" s="92"/>
      <x:c r="T174" s="92"/>
      <x:c r="U174" s="92"/>
      <x:c r="V174" s="92"/>
      <x:c r="W174" s="92"/>
      <x:c r="X174" s="92"/>
      <x:c r="Y174" s="92"/>
      <x:c r="Z174" s="92"/>
    </x:row>
    <x:row r="175">
      <x:c r="A175" s="92"/>
      <x:c r="B175" s="92"/>
      <x:c r="C175" s="92"/>
      <x:c r="D175" s="92"/>
      <x:c r="E175" s="92"/>
      <x:c r="F175" s="92"/>
      <x:c r="G175" s="92"/>
      <x:c r="H175" s="92"/>
      <x:c r="I175" s="92"/>
      <x:c r="J175" s="92"/>
      <x:c r="K175" s="92"/>
      <x:c r="L175" s="92"/>
      <x:c r="M175" s="92"/>
      <x:c r="N175" s="92"/>
      <x:c r="O175" s="92"/>
      <x:c r="P175" s="92"/>
      <x:c r="Q175" s="92"/>
      <x:c r="R175" s="92"/>
      <x:c r="S175" s="92"/>
      <x:c r="T175" s="92"/>
      <x:c r="U175" s="92"/>
      <x:c r="V175" s="92"/>
      <x:c r="W175" s="92"/>
      <x:c r="X175" s="92"/>
      <x:c r="Y175" s="92"/>
      <x:c r="Z175" s="92"/>
    </x:row>
    <x:row r="176">
      <x:c r="A176" s="92"/>
      <x:c r="B176" s="92"/>
      <x:c r="C176" s="92"/>
      <x:c r="D176" s="92"/>
      <x:c r="E176" s="92"/>
      <x:c r="F176" s="92"/>
      <x:c r="G176" s="92"/>
      <x:c r="H176" s="92"/>
      <x:c r="I176" s="92"/>
      <x:c r="J176" s="92"/>
      <x:c r="K176" s="92"/>
      <x:c r="L176" s="92"/>
      <x:c r="M176" s="92"/>
      <x:c r="N176" s="92"/>
      <x:c r="O176" s="92"/>
      <x:c r="P176" s="92"/>
      <x:c r="Q176" s="92"/>
      <x:c r="R176" s="92"/>
      <x:c r="S176" s="92"/>
      <x:c r="T176" s="92"/>
      <x:c r="U176" s="92"/>
      <x:c r="V176" s="92"/>
      <x:c r="W176" s="92"/>
      <x:c r="X176" s="92"/>
      <x:c r="Y176" s="92"/>
      <x:c r="Z176" s="92"/>
    </x:row>
    <x:row r="177">
      <x:c r="A177" s="92"/>
      <x:c r="B177" s="92"/>
      <x:c r="C177" s="92"/>
      <x:c r="D177" s="92"/>
      <x:c r="E177" s="92"/>
      <x:c r="F177" s="92"/>
      <x:c r="G177" s="92"/>
      <x:c r="H177" s="92"/>
      <x:c r="I177" s="92"/>
      <x:c r="J177" s="92"/>
      <x:c r="K177" s="92"/>
      <x:c r="L177" s="92"/>
      <x:c r="M177" s="92"/>
      <x:c r="N177" s="92"/>
      <x:c r="O177" s="92"/>
      <x:c r="P177" s="92"/>
      <x:c r="Q177" s="92"/>
      <x:c r="R177" s="92"/>
      <x:c r="S177" s="92"/>
      <x:c r="T177" s="92"/>
      <x:c r="U177" s="92"/>
      <x:c r="V177" s="92"/>
      <x:c r="W177" s="92"/>
      <x:c r="X177" s="92"/>
      <x:c r="Y177" s="92"/>
      <x:c r="Z177" s="92"/>
    </x:row>
    <x:row r="178">
      <x:c r="A178" s="92"/>
      <x:c r="B178" s="92"/>
      <x:c r="C178" s="92"/>
      <x:c r="D178" s="92"/>
      <x:c r="E178" s="92"/>
      <x:c r="F178" s="92"/>
      <x:c r="G178" s="92"/>
      <x:c r="H178" s="92"/>
      <x:c r="I178" s="92"/>
      <x:c r="J178" s="92"/>
      <x:c r="K178" s="92"/>
      <x:c r="L178" s="92"/>
      <x:c r="M178" s="92"/>
      <x:c r="N178" s="92"/>
      <x:c r="O178" s="92"/>
      <x:c r="P178" s="92"/>
      <x:c r="Q178" s="92"/>
      <x:c r="R178" s="92"/>
      <x:c r="S178" s="92"/>
      <x:c r="T178" s="92"/>
      <x:c r="U178" s="92"/>
      <x:c r="V178" s="92"/>
      <x:c r="W178" s="92"/>
      <x:c r="X178" s="92"/>
      <x:c r="Y178" s="92"/>
      <x:c r="Z178" s="92"/>
    </x:row>
    <x:row r="179">
      <x:c r="A179" s="92"/>
      <x:c r="B179" s="92"/>
      <x:c r="C179" s="92"/>
      <x:c r="D179" s="92"/>
      <x:c r="E179" s="92"/>
      <x:c r="F179" s="92"/>
      <x:c r="G179" s="92"/>
      <x:c r="H179" s="92"/>
      <x:c r="I179" s="92"/>
      <x:c r="J179" s="92"/>
      <x:c r="K179" s="92"/>
      <x:c r="L179" s="92"/>
      <x:c r="M179" s="92"/>
      <x:c r="N179" s="92"/>
      <x:c r="O179" s="92"/>
      <x:c r="P179" s="92"/>
      <x:c r="Q179" s="92"/>
      <x:c r="R179" s="92"/>
      <x:c r="S179" s="92"/>
      <x:c r="T179" s="92"/>
      <x:c r="U179" s="92"/>
      <x:c r="V179" s="92"/>
      <x:c r="W179" s="92"/>
      <x:c r="X179" s="92"/>
      <x:c r="Y179" s="92"/>
      <x:c r="Z179" s="92"/>
    </x:row>
    <x:row r="180">
      <x:c r="A180" s="92"/>
      <x:c r="B180" s="92"/>
      <x:c r="C180" s="92"/>
      <x:c r="D180" s="92"/>
      <x:c r="E180" s="92"/>
      <x:c r="F180" s="92"/>
      <x:c r="G180" s="92"/>
      <x:c r="H180" s="92"/>
      <x:c r="I180" s="92"/>
      <x:c r="J180" s="92"/>
      <x:c r="K180" s="92"/>
      <x:c r="L180" s="92"/>
      <x:c r="M180" s="92"/>
      <x:c r="N180" s="92"/>
      <x:c r="O180" s="92"/>
      <x:c r="P180" s="92"/>
      <x:c r="Q180" s="92"/>
      <x:c r="R180" s="92"/>
      <x:c r="S180" s="92"/>
      <x:c r="T180" s="92"/>
      <x:c r="U180" s="92"/>
      <x:c r="V180" s="92"/>
      <x:c r="W180" s="92"/>
      <x:c r="X180" s="92"/>
      <x:c r="Y180" s="92"/>
      <x:c r="Z180" s="92"/>
    </x:row>
    <x:row r="181">
      <x:c r="A181" s="92"/>
      <x:c r="B181" s="92"/>
      <x:c r="C181" s="92"/>
      <x:c r="D181" s="92"/>
      <x:c r="E181" s="92"/>
      <x:c r="F181" s="92"/>
      <x:c r="G181" s="92"/>
      <x:c r="H181" s="92"/>
      <x:c r="I181" s="92"/>
      <x:c r="J181" s="92"/>
      <x:c r="K181" s="92"/>
      <x:c r="L181" s="92"/>
      <x:c r="M181" s="92"/>
      <x:c r="N181" s="92"/>
      <x:c r="O181" s="92"/>
      <x:c r="P181" s="92"/>
      <x:c r="Q181" s="92"/>
      <x:c r="R181" s="92"/>
      <x:c r="S181" s="92"/>
      <x:c r="T181" s="92"/>
      <x:c r="U181" s="92"/>
      <x:c r="V181" s="92"/>
      <x:c r="W181" s="92"/>
      <x:c r="X181" s="92"/>
      <x:c r="Y181" s="92"/>
      <x:c r="Z181" s="92"/>
    </x:row>
    <x:row r="182">
      <x:c r="A182" s="92"/>
      <x:c r="B182" s="92"/>
      <x:c r="C182" s="92"/>
      <x:c r="D182" s="92"/>
      <x:c r="E182" s="92"/>
      <x:c r="F182" s="92"/>
      <x:c r="G182" s="92"/>
      <x:c r="H182" s="92"/>
      <x:c r="I182" s="92"/>
      <x:c r="J182" s="92"/>
      <x:c r="K182" s="92"/>
      <x:c r="L182" s="92"/>
      <x:c r="M182" s="92"/>
      <x:c r="N182" s="92"/>
      <x:c r="O182" s="92"/>
      <x:c r="P182" s="92"/>
      <x:c r="Q182" s="92"/>
      <x:c r="R182" s="92"/>
      <x:c r="S182" s="92"/>
      <x:c r="T182" s="92"/>
      <x:c r="U182" s="92"/>
      <x:c r="V182" s="92"/>
      <x:c r="W182" s="92"/>
      <x:c r="X182" s="92"/>
      <x:c r="Y182" s="92"/>
      <x:c r="Z182" s="92"/>
    </x:row>
    <x:row r="183">
      <x:c r="A183" s="92"/>
      <x:c r="B183" s="92"/>
      <x:c r="C183" s="92"/>
      <x:c r="D183" s="92"/>
      <x:c r="E183" s="92"/>
      <x:c r="F183" s="92"/>
      <x:c r="G183" s="92"/>
      <x:c r="H183" s="92"/>
      <x:c r="I183" s="92"/>
      <x:c r="J183" s="92"/>
      <x:c r="K183" s="92"/>
      <x:c r="L183" s="92"/>
      <x:c r="M183" s="92"/>
      <x:c r="N183" s="92"/>
      <x:c r="O183" s="92"/>
      <x:c r="P183" s="92"/>
      <x:c r="Q183" s="92"/>
      <x:c r="R183" s="92"/>
      <x:c r="S183" s="92"/>
      <x:c r="T183" s="92"/>
      <x:c r="U183" s="92"/>
      <x:c r="V183" s="92"/>
      <x:c r="W183" s="92"/>
      <x:c r="X183" s="92"/>
      <x:c r="Y183" s="92"/>
      <x:c r="Z183" s="92"/>
    </x:row>
    <x:row r="184">
      <x:c r="A184" s="92"/>
      <x:c r="B184" s="92"/>
      <x:c r="C184" s="92"/>
      <x:c r="D184" s="92"/>
      <x:c r="E184" s="92"/>
      <x:c r="F184" s="92"/>
      <x:c r="G184" s="92"/>
      <x:c r="H184" s="92"/>
      <x:c r="I184" s="92"/>
      <x:c r="J184" s="92"/>
      <x:c r="K184" s="92"/>
      <x:c r="L184" s="92"/>
      <x:c r="M184" s="92"/>
      <x:c r="N184" s="92"/>
      <x:c r="O184" s="92"/>
      <x:c r="P184" s="92"/>
      <x:c r="Q184" s="92"/>
      <x:c r="R184" s="92"/>
      <x:c r="S184" s="92"/>
      <x:c r="T184" s="92"/>
      <x:c r="U184" s="92"/>
      <x:c r="V184" s="92"/>
      <x:c r="W184" s="92"/>
      <x:c r="X184" s="92"/>
      <x:c r="Y184" s="92"/>
      <x:c r="Z184" s="92"/>
    </x:row>
    <x:row r="185">
      <x:c r="A185" s="92"/>
      <x:c r="B185" s="92"/>
      <x:c r="C185" s="92"/>
      <x:c r="D185" s="92"/>
      <x:c r="E185" s="92"/>
      <x:c r="F185" s="92"/>
      <x:c r="G185" s="92"/>
      <x:c r="H185" s="92"/>
      <x:c r="I185" s="92"/>
      <x:c r="J185" s="92"/>
      <x:c r="K185" s="92"/>
      <x:c r="L185" s="92"/>
      <x:c r="M185" s="92"/>
      <x:c r="N185" s="92"/>
      <x:c r="O185" s="92"/>
      <x:c r="P185" s="92"/>
      <x:c r="Q185" s="92"/>
      <x:c r="R185" s="92"/>
      <x:c r="S185" s="92"/>
      <x:c r="T185" s="92"/>
      <x:c r="U185" s="92"/>
      <x:c r="V185" s="92"/>
      <x:c r="W185" s="92"/>
      <x:c r="X185" s="92"/>
      <x:c r="Y185" s="92"/>
      <x:c r="Z185" s="92"/>
    </x:row>
    <x:row r="186">
      <x:c r="A186" s="92"/>
      <x:c r="B186" s="92"/>
      <x:c r="C186" s="92"/>
      <x:c r="D186" s="92"/>
      <x:c r="E186" s="92"/>
      <x:c r="F186" s="92"/>
      <x:c r="G186" s="92"/>
      <x:c r="H186" s="92"/>
      <x:c r="I186" s="92"/>
      <x:c r="J186" s="92"/>
      <x:c r="K186" s="92"/>
      <x:c r="L186" s="92"/>
      <x:c r="M186" s="92"/>
      <x:c r="N186" s="92"/>
      <x:c r="O186" s="92"/>
      <x:c r="P186" s="92"/>
      <x:c r="Q186" s="92"/>
      <x:c r="R186" s="92"/>
      <x:c r="S186" s="92"/>
      <x:c r="T186" s="92"/>
      <x:c r="U186" s="92"/>
      <x:c r="V186" s="92"/>
      <x:c r="W186" s="92"/>
      <x:c r="X186" s="92"/>
      <x:c r="Y186" s="92"/>
      <x:c r="Z186" s="92"/>
    </x:row>
    <x:row r="187">
      <x:c r="A187" s="92"/>
      <x:c r="B187" s="92"/>
      <x:c r="C187" s="92"/>
      <x:c r="D187" s="92"/>
      <x:c r="E187" s="92"/>
      <x:c r="F187" s="92"/>
      <x:c r="G187" s="92"/>
      <x:c r="H187" s="92"/>
      <x:c r="I187" s="92"/>
      <x:c r="J187" s="92"/>
      <x:c r="K187" s="92"/>
      <x:c r="L187" s="92"/>
      <x:c r="M187" s="92"/>
      <x:c r="N187" s="92"/>
      <x:c r="O187" s="92"/>
      <x:c r="P187" s="92"/>
      <x:c r="Q187" s="92"/>
      <x:c r="R187" s="92"/>
      <x:c r="S187" s="92"/>
      <x:c r="T187" s="92"/>
      <x:c r="U187" s="92"/>
      <x:c r="V187" s="92"/>
      <x:c r="W187" s="92"/>
      <x:c r="X187" s="92"/>
      <x:c r="Y187" s="92"/>
      <x:c r="Z187" s="92"/>
    </x:row>
    <x:row r="188">
      <x:c r="A188" s="92"/>
      <x:c r="B188" s="92"/>
      <x:c r="C188" s="92"/>
      <x:c r="D188" s="92"/>
      <x:c r="E188" s="92"/>
      <x:c r="F188" s="92"/>
      <x:c r="G188" s="92"/>
      <x:c r="H188" s="92"/>
      <x:c r="I188" s="92"/>
      <x:c r="J188" s="92"/>
      <x:c r="K188" s="92"/>
      <x:c r="L188" s="92"/>
      <x:c r="M188" s="92"/>
      <x:c r="N188" s="92"/>
      <x:c r="O188" s="92"/>
      <x:c r="P188" s="92"/>
      <x:c r="Q188" s="92"/>
      <x:c r="R188" s="92"/>
      <x:c r="S188" s="92"/>
      <x:c r="T188" s="92"/>
      <x:c r="U188" s="92"/>
      <x:c r="V188" s="92"/>
      <x:c r="W188" s="92"/>
      <x:c r="X188" s="92"/>
      <x:c r="Y188" s="92"/>
      <x:c r="Z188" s="92"/>
    </x:row>
    <x:row r="189">
      <x:c r="A189" s="92"/>
      <x:c r="B189" s="92"/>
      <x:c r="C189" s="92"/>
      <x:c r="D189" s="92"/>
      <x:c r="E189" s="92"/>
      <x:c r="F189" s="92"/>
      <x:c r="G189" s="92"/>
      <x:c r="H189" s="92"/>
      <x:c r="I189" s="92"/>
      <x:c r="J189" s="92"/>
      <x:c r="K189" s="92"/>
      <x:c r="L189" s="92"/>
      <x:c r="M189" s="92"/>
      <x:c r="N189" s="92"/>
      <x:c r="O189" s="92"/>
      <x:c r="P189" s="92"/>
      <x:c r="Q189" s="92"/>
      <x:c r="R189" s="92"/>
      <x:c r="S189" s="92"/>
      <x:c r="T189" s="92"/>
      <x:c r="U189" s="92"/>
      <x:c r="V189" s="92"/>
      <x:c r="W189" s="92"/>
      <x:c r="X189" s="92"/>
      <x:c r="Y189" s="92"/>
      <x:c r="Z189" s="92"/>
    </x:row>
    <x:row r="190">
      <x:c r="A190" s="92"/>
      <x:c r="B190" s="92"/>
      <x:c r="C190" s="92"/>
      <x:c r="D190" s="92"/>
      <x:c r="E190" s="92"/>
      <x:c r="F190" s="92"/>
      <x:c r="G190" s="92"/>
      <x:c r="H190" s="92"/>
      <x:c r="I190" s="92"/>
      <x:c r="J190" s="92"/>
      <x:c r="K190" s="92"/>
      <x:c r="L190" s="92"/>
      <x:c r="M190" s="92"/>
      <x:c r="N190" s="92"/>
      <x:c r="O190" s="92"/>
      <x:c r="P190" s="92"/>
      <x:c r="Q190" s="92"/>
      <x:c r="R190" s="92"/>
      <x:c r="S190" s="92"/>
      <x:c r="T190" s="92"/>
      <x:c r="U190" s="92"/>
      <x:c r="V190" s="92"/>
      <x:c r="W190" s="92"/>
      <x:c r="X190" s="92"/>
      <x:c r="Y190" s="92"/>
      <x:c r="Z190" s="92"/>
    </x:row>
    <x:row r="191">
      <x:c r="A191" s="92"/>
      <x:c r="B191" s="92"/>
      <x:c r="C191" s="92"/>
      <x:c r="D191" s="92"/>
      <x:c r="E191" s="92"/>
      <x:c r="F191" s="92"/>
      <x:c r="G191" s="92"/>
      <x:c r="H191" s="92"/>
      <x:c r="I191" s="92"/>
      <x:c r="J191" s="92"/>
      <x:c r="K191" s="92"/>
      <x:c r="L191" s="92"/>
      <x:c r="M191" s="92"/>
      <x:c r="N191" s="92"/>
      <x:c r="O191" s="92"/>
      <x:c r="P191" s="92"/>
      <x:c r="Q191" s="92"/>
      <x:c r="R191" s="92"/>
      <x:c r="S191" s="92"/>
      <x:c r="T191" s="92"/>
      <x:c r="U191" s="92"/>
      <x:c r="V191" s="92"/>
      <x:c r="W191" s="92"/>
      <x:c r="X191" s="92"/>
      <x:c r="Y191" s="92"/>
      <x:c r="Z191" s="92"/>
    </x:row>
    <x:row r="192">
      <x:c r="A192" s="92"/>
      <x:c r="B192" s="92"/>
      <x:c r="C192" s="92"/>
      <x:c r="D192" s="92"/>
      <x:c r="E192" s="92"/>
      <x:c r="F192" s="92"/>
      <x:c r="G192" s="92"/>
      <x:c r="H192" s="92"/>
      <x:c r="I192" s="92"/>
      <x:c r="J192" s="92"/>
      <x:c r="K192" s="92"/>
      <x:c r="L192" s="92"/>
      <x:c r="M192" s="92"/>
      <x:c r="N192" s="92"/>
      <x:c r="O192" s="92"/>
      <x:c r="P192" s="92"/>
      <x:c r="Q192" s="92"/>
      <x:c r="R192" s="92"/>
      <x:c r="S192" s="92"/>
      <x:c r="T192" s="92"/>
      <x:c r="U192" s="92"/>
      <x:c r="V192" s="92"/>
      <x:c r="W192" s="92"/>
      <x:c r="X192" s="92"/>
      <x:c r="Y192" s="92"/>
      <x:c r="Z192" s="92"/>
    </x:row>
    <x:row r="193">
      <x:c r="A193" s="92"/>
      <x:c r="B193" s="92"/>
      <x:c r="C193" s="92"/>
      <x:c r="D193" s="92"/>
      <x:c r="E193" s="92"/>
      <x:c r="F193" s="92"/>
      <x:c r="G193" s="92"/>
      <x:c r="H193" s="92"/>
      <x:c r="I193" s="92"/>
      <x:c r="J193" s="92"/>
      <x:c r="K193" s="92"/>
      <x:c r="L193" s="92"/>
      <x:c r="M193" s="92"/>
      <x:c r="N193" s="92"/>
      <x:c r="O193" s="92"/>
      <x:c r="P193" s="92"/>
      <x:c r="Q193" s="92"/>
      <x:c r="R193" s="92"/>
      <x:c r="S193" s="92"/>
      <x:c r="T193" s="92"/>
      <x:c r="U193" s="92"/>
      <x:c r="V193" s="92"/>
      <x:c r="W193" s="92"/>
      <x:c r="X193" s="92"/>
      <x:c r="Y193" s="92"/>
      <x:c r="Z193" s="92"/>
    </x:row>
    <x:row r="194">
      <x:c r="A194" s="92"/>
      <x:c r="B194" s="92"/>
      <x:c r="C194" s="92"/>
      <x:c r="D194" s="92"/>
      <x:c r="E194" s="92"/>
      <x:c r="F194" s="92"/>
      <x:c r="G194" s="92"/>
      <x:c r="H194" s="92"/>
      <x:c r="I194" s="92"/>
      <x:c r="J194" s="92"/>
      <x:c r="K194" s="92"/>
      <x:c r="L194" s="92"/>
      <x:c r="M194" s="92"/>
      <x:c r="N194" s="92"/>
      <x:c r="O194" s="92"/>
      <x:c r="P194" s="92"/>
      <x:c r="Q194" s="92"/>
      <x:c r="R194" s="92"/>
      <x:c r="S194" s="92"/>
      <x:c r="T194" s="92"/>
      <x:c r="U194" s="92"/>
      <x:c r="V194" s="92"/>
      <x:c r="W194" s="92"/>
      <x:c r="X194" s="92"/>
      <x:c r="Y194" s="92"/>
      <x:c r="Z194" s="92"/>
    </x:row>
    <x:row r="195">
      <x:c r="A195" s="92"/>
      <x:c r="B195" s="92"/>
      <x:c r="C195" s="92"/>
      <x:c r="D195" s="92"/>
      <x:c r="E195" s="92"/>
      <x:c r="F195" s="92"/>
      <x:c r="G195" s="92"/>
      <x:c r="H195" s="92"/>
      <x:c r="I195" s="92"/>
      <x:c r="J195" s="92"/>
      <x:c r="K195" s="92"/>
      <x:c r="L195" s="92"/>
      <x:c r="M195" s="92"/>
      <x:c r="N195" s="92"/>
      <x:c r="O195" s="92"/>
      <x:c r="P195" s="92"/>
      <x:c r="Q195" s="92"/>
      <x:c r="R195" s="92"/>
      <x:c r="S195" s="92"/>
      <x:c r="T195" s="92"/>
      <x:c r="U195" s="92"/>
      <x:c r="V195" s="92"/>
      <x:c r="W195" s="92"/>
      <x:c r="X195" s="92"/>
      <x:c r="Y195" s="92"/>
      <x:c r="Z195" s="92"/>
    </x:row>
    <x:row r="196">
      <x:c r="A196" s="92"/>
      <x:c r="B196" s="92"/>
      <x:c r="C196" s="92"/>
      <x:c r="D196" s="92"/>
      <x:c r="E196" s="92"/>
      <x:c r="F196" s="92"/>
      <x:c r="G196" s="92"/>
      <x:c r="H196" s="92"/>
      <x:c r="I196" s="92"/>
      <x:c r="J196" s="92"/>
      <x:c r="K196" s="92"/>
      <x:c r="L196" s="92"/>
      <x:c r="M196" s="92"/>
      <x:c r="N196" s="92"/>
      <x:c r="O196" s="92"/>
      <x:c r="P196" s="92"/>
      <x:c r="Q196" s="92"/>
      <x:c r="R196" s="92"/>
      <x:c r="S196" s="92"/>
      <x:c r="T196" s="92"/>
      <x:c r="U196" s="92"/>
      <x:c r="V196" s="92"/>
      <x:c r="W196" s="92"/>
      <x:c r="X196" s="92"/>
      <x:c r="Y196" s="92"/>
      <x:c r="Z196" s="92"/>
    </x:row>
    <x:row r="197">
      <x:c r="A197" s="92"/>
      <x:c r="B197" s="92"/>
      <x:c r="C197" s="92"/>
      <x:c r="D197" s="92"/>
      <x:c r="E197" s="92"/>
      <x:c r="F197" s="92"/>
      <x:c r="G197" s="92"/>
      <x:c r="H197" s="92"/>
      <x:c r="I197" s="92"/>
      <x:c r="J197" s="92"/>
      <x:c r="K197" s="92"/>
      <x:c r="L197" s="92"/>
      <x:c r="M197" s="92"/>
      <x:c r="N197" s="92"/>
      <x:c r="O197" s="92"/>
      <x:c r="P197" s="92"/>
      <x:c r="Q197" s="92"/>
      <x:c r="R197" s="92"/>
      <x:c r="S197" s="92"/>
      <x:c r="T197" s="92"/>
      <x:c r="U197" s="92"/>
      <x:c r="V197" s="92"/>
      <x:c r="W197" s="92"/>
      <x:c r="X197" s="92"/>
      <x:c r="Y197" s="92"/>
      <x:c r="Z197" s="92"/>
    </x:row>
    <x:row r="198">
      <x:c r="A198" s="92"/>
      <x:c r="B198" s="92"/>
      <x:c r="C198" s="92"/>
      <x:c r="D198" s="92"/>
      <x:c r="E198" s="92"/>
      <x:c r="F198" s="92"/>
      <x:c r="G198" s="92"/>
      <x:c r="H198" s="92"/>
      <x:c r="I198" s="92"/>
      <x:c r="J198" s="92"/>
      <x:c r="K198" s="92"/>
      <x:c r="L198" s="92"/>
      <x:c r="M198" s="92"/>
      <x:c r="N198" s="92"/>
      <x:c r="O198" s="92"/>
      <x:c r="P198" s="92"/>
      <x:c r="Q198" s="92"/>
      <x:c r="R198" s="92"/>
      <x:c r="S198" s="92"/>
      <x:c r="T198" s="92"/>
      <x:c r="U198" s="92"/>
      <x:c r="V198" s="92"/>
      <x:c r="W198" s="92"/>
      <x:c r="X198" s="92"/>
      <x:c r="Y198" s="92"/>
      <x:c r="Z198" s="92"/>
    </x:row>
    <x:row r="199">
      <x:c r="A199" s="92"/>
      <x:c r="B199" s="92"/>
      <x:c r="C199" s="92"/>
      <x:c r="D199" s="92"/>
      <x:c r="E199" s="92"/>
      <x:c r="F199" s="92"/>
      <x:c r="G199" s="92"/>
      <x:c r="H199" s="92"/>
      <x:c r="I199" s="92"/>
      <x:c r="J199" s="92"/>
      <x:c r="K199" s="92"/>
      <x:c r="L199" s="92"/>
      <x:c r="M199" s="92"/>
      <x:c r="N199" s="92"/>
      <x:c r="O199" s="92"/>
      <x:c r="P199" s="92"/>
      <x:c r="Q199" s="92"/>
      <x:c r="R199" s="92"/>
      <x:c r="S199" s="92"/>
      <x:c r="T199" s="92"/>
      <x:c r="U199" s="92"/>
      <x:c r="V199" s="92"/>
      <x:c r="W199" s="92"/>
      <x:c r="X199" s="92"/>
      <x:c r="Y199" s="92"/>
      <x:c r="Z199" s="92"/>
    </x:row>
    <x:row r="200">
      <x:c r="A200" s="92"/>
      <x:c r="B200" s="92"/>
      <x:c r="C200" s="92"/>
      <x:c r="D200" s="92"/>
      <x:c r="E200" s="92"/>
      <x:c r="F200" s="92"/>
      <x:c r="G200" s="92"/>
      <x:c r="H200" s="92"/>
      <x:c r="I200" s="92"/>
      <x:c r="J200" s="92"/>
      <x:c r="K200" s="92"/>
      <x:c r="L200" s="92"/>
      <x:c r="M200" s="92"/>
      <x:c r="N200" s="92"/>
      <x:c r="O200" s="92"/>
      <x:c r="P200" s="92"/>
      <x:c r="Q200" s="92"/>
      <x:c r="R200" s="92"/>
      <x:c r="S200" s="92"/>
      <x:c r="T200" s="92"/>
      <x:c r="U200" s="92"/>
      <x:c r="V200" s="92"/>
      <x:c r="W200" s="92"/>
      <x:c r="X200" s="92"/>
      <x:c r="Y200" s="92"/>
      <x:c r="Z200" s="92"/>
    </x:row>
  </x:sheetData>
  <x:dataValidations count="3">
    <x:dataValidation type="list" sqref="D2:D101">
      <x:formula1>"Critical,High,Medium,Low"</x:formula1>
    </x:dataValidation>
    <x:dataValidation type="list" sqref="E2:E101">
      <x:formula1>"Open,In Progress,Fixed,Retest,Closed,Deferred"</x:formula1>
    </x:dataValidation>
    <x:dataValidation type="list" sqref="O2:O101">
      <x:formula1>"Not Retested,Pass,Fail,Blocked"</x:formula1>
    </x:dataValidation>
  </x:dataValidations>
  <x:pageMargins left="0.7" right="0.7" top="0.75" bottom="0.75" header="0.3" footer="0.3"/>
  <x:tableParts count="1">
    <x:tablePart xmlns:r="http://schemas.openxmlformats.org/officeDocument/2006/relationships" r:id="Rff6dc91972c24df2"/>
  </x:tableParts>
</x:worksheet>
</file>