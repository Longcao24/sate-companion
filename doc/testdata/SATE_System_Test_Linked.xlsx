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Lists" sheetId="3" state="visible" r:id="rId3"/>
    <sheet name="Test Cases" sheetId="4" state="visible" r:id="rId4"/>
    <sheet name="Requirements" sheetId="5" state="visible" r:id="rId5"/>
    <sheet name="Traceability" sheetId="6" state="visible" r:id="rId6"/>
    <sheet name="Defect Log" sheetId="7" state="visible" r:id="rId7"/>
    <sheet name="End-User Tests" sheetId="8" state="visible" r:id="rId8"/>
    <sheet name="Server-Side Tests" sheetId="9" state="visible" r:id="rId9"/>
    <sheet name="Deferred (out of scope)" sheetId="10" state="visible" r:id="rId10"/>
    <sheet name="Environment &amp; Test Data" sheetId="11" state="visible" r:id="rId11"/>
  </sheets>
  <definedNames>
    <definedName name="_xlnm._FilterDatabase" localSheetId="3" hidden="1">'Test Cases'!$A$1:$AD$89</definedName>
    <definedName name="_xlnm._FilterDatabase" localSheetId="4" hidden="1">'Requirements'!$A$1:$L$23</definedName>
    <definedName name="_xlnm._FilterDatabase" localSheetId="5" hidden="1">'Traceability'!$A$1:$H$182</definedName>
    <definedName name="_xlnm._FilterDatabase" localSheetId="6" hidden="1">'Defect Log'!$A$1:$T$201</definedName>
    <definedName name="_xlnm._FilterDatabase" localSheetId="7" hidden="1">'End-User Tests'!$A$4:$L$58</definedName>
    <definedName name="_xlnm._FilterDatabase" localSheetId="8" hidden="1">'Server-Side Tests'!$A$4:$G$58</definedName>
    <definedName name="_xlnm._FilterDatabase" localSheetId="9" hidden="1">'Deferred (out of scope)'!$A$4:$F$25</definedName>
    <definedName name="_xlnm._FilterDatabase" localSheetId="10" hidden="1">'Environment &amp; Test Data'!$A$1:$F$26</definedName>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b val="1"/>
      <color rgb="00111827"/>
      <sz val="16"/>
    </font>
    <font>
      <i val="1"/>
      <color rgb="006B7280"/>
      <sz val="10"/>
    </font>
    <font>
      <b val="1"/>
      <color rgb="002563EB"/>
      <sz val="11"/>
    </font>
    <font>
      <b val="1"/>
      <sz val="10"/>
    </font>
    <font>
      <sz val="10"/>
    </font>
    <font>
      <name val="Calibri"/>
      <b val="1"/>
      <color rgb="00FFFFFF"/>
      <sz val="10"/>
    </font>
    <font>
      <name val="Consolas"/>
      <sz val="10"/>
    </font>
    <font>
      <i val="1"/>
      <color rgb="009CA3AF"/>
      <sz val="10"/>
    </font>
    <font>
      <b val="1"/>
      <color rgb="00B91C1C"/>
      <sz val="11"/>
    </font>
    <font>
      <name val="Consolas"/>
      <b val="1"/>
      <color rgb="00B91C1C"/>
      <sz val="10"/>
    </font>
    <font>
      <b val="1"/>
      <color rgb="002563EB"/>
      <sz val="10"/>
    </font>
    <font>
      <name val="Consolas"/>
      <b val="1"/>
      <color rgb="00B91C1C"/>
      <sz val="9"/>
    </font>
  </fonts>
  <fills count="3">
    <fill>
      <patternFill/>
    </fill>
    <fill>
      <patternFill patternType="gray125"/>
    </fill>
    <fill>
      <patternFill patternType="solid">
        <fgColor rgb="002563EB"/>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pivotButton="0" quotePrefix="0" xfId="0"/>
    <xf numFmtId="0" fontId="6" fillId="2" borderId="0" applyAlignment="1" pivotButton="0" quotePrefix="0" xfId="0">
      <alignment horizontal="center" vertical="center"/>
    </xf>
    <xf numFmtId="0" fontId="4" fillId="0" borderId="0" pivotButton="0" quotePrefix="0" xfId="0"/>
    <xf numFmtId="0" fontId="5" fillId="0" borderId="1" applyAlignment="1" pivotButton="0" quotePrefix="0" xfId="0">
      <alignment horizontal="center" vertical="center"/>
    </xf>
    <xf numFmtId="0" fontId="5" fillId="0" borderId="0" pivotButton="0" quotePrefix="0" xfId="0"/>
    <xf numFmtId="0" fontId="0" fillId="0" borderId="1" applyAlignment="1" pivotButton="0" quotePrefix="0" xfId="0">
      <alignment horizontal="center" vertical="center"/>
    </xf>
    <xf numFmtId="164" fontId="0" fillId="0" borderId="1" applyAlignment="1" pivotButton="0" quotePrefix="0" xfId="0">
      <alignment horizontal="center" vertical="center"/>
    </xf>
    <xf numFmtId="0" fontId="4" fillId="0" borderId="0" applyAlignment="1" pivotButton="0" quotePrefix="0" xfId="0">
      <alignment horizontal="center" vertical="center"/>
    </xf>
    <xf numFmtId="0" fontId="6" fillId="2" borderId="0" applyAlignment="1" pivotButton="0" quotePrefix="0" xfId="0">
      <alignment vertical="center"/>
    </xf>
    <xf numFmtId="0" fontId="4" fillId="0" borderId="1" pivotButton="0" quotePrefix="0" xfId="0"/>
    <xf numFmtId="0" fontId="11" fillId="0" borderId="0" pivotButton="0" quotePrefix="0" xfId="0"/>
    <xf numFmtId="0" fontId="11" fillId="0" borderId="1" applyAlignment="1" pivotButton="0" quotePrefix="0" xfId="0">
      <alignment horizontal="center" vertical="center"/>
    </xf>
    <xf numFmtId="0" fontId="2" fillId="0" borderId="0" applyAlignment="1" pivotButton="0" quotePrefix="0" xfId="0">
      <alignment vertical="top" wrapText="1"/>
    </xf>
    <xf numFmtId="0" fontId="5" fillId="0" borderId="1" pivotButton="0" quotePrefix="0" xfId="0"/>
    <xf numFmtId="0" fontId="0" fillId="0" borderId="0" applyAlignment="1" pivotButton="0" quotePrefix="0" xfId="0">
      <alignment horizontal="center" vertical="center"/>
    </xf>
    <xf numFmtId="0" fontId="12" fillId="0" borderId="0" applyAlignment="1" pivotButton="0" quotePrefix="0" xfId="0">
      <alignment vertical="top" wrapText="1"/>
    </xf>
    <xf numFmtId="0" fontId="6" fillId="2" borderId="1" applyAlignment="1" pivotButton="0" quotePrefix="0" xfId="0">
      <alignment vertical="center" wrapText="1"/>
    </xf>
    <xf numFmtId="0" fontId="7" fillId="0"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8" fillId="0" borderId="1" applyAlignment="1" pivotButton="0" quotePrefix="0" xfId="0">
      <alignment vertical="top"/>
    </xf>
    <xf numFmtId="0" fontId="8" fillId="0" borderId="1" applyAlignment="1" pivotButton="0" quotePrefix="0" xfId="0">
      <alignment vertical="top" wrapText="1"/>
    </xf>
    <xf numFmtId="0" fontId="8" fillId="0"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9" fillId="0" borderId="0" pivotButton="0" quotePrefix="0" xfId="0"/>
    <xf numFmtId="0" fontId="10" fillId="0" borderId="0" pivotButton="0" quotePrefix="0" xfId="0"/>
    <xf numFmtId="0" fontId="6" fillId="2" borderId="1"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horizontal="center" vertical="top"/>
    </xf>
  </cellXfs>
  <cellStyles count="1">
    <cellStyle name="Normal" xfId="0" builtinId="0" hidden="0"/>
  </cellStyles>
  <dxfs count="14">
    <dxf>
      <font>
        <b val="1"/>
        <color rgb="00B91C1C"/>
        <sz val="10"/>
      </font>
      <fill>
        <patternFill patternType="solid">
          <fgColor rgb="00FEF2F2"/>
        </patternFill>
      </fill>
    </dxf>
    <dxf>
      <font>
        <b val="1"/>
        <color rgb="0015803D"/>
        <sz val="10"/>
      </font>
      <fill>
        <patternFill patternType="solid">
          <fgColor rgb="00F0FDF4"/>
        </patternFill>
      </fill>
    </dxf>
    <dxf>
      <font>
        <b val="1"/>
        <color rgb="00B91C1C"/>
        <sz val="10"/>
      </font>
      <fill>
        <patternFill patternType="solid">
          <fgColor rgb="00FECACA"/>
        </patternFill>
      </fill>
    </dxf>
    <dxf>
      <font>
        <color rgb="00B91C1C"/>
        <sz val="10"/>
      </font>
      <fill>
        <patternFill patternType="solid">
          <fgColor rgb="00FEF2F2"/>
        </patternFill>
      </fill>
    </dxf>
    <dxf>
      <fill>
        <patternFill patternType="solid">
          <fgColor rgb="00F0FDF4"/>
        </patternFill>
      </fill>
    </dxf>
    <dxf>
      <fill>
        <patternFill patternType="solid">
          <fgColor rgb="00FFFBEB"/>
        </patternFill>
      </fill>
    </dxf>
    <dxf>
      <font>
        <color rgb="00B45309"/>
        <sz val="10"/>
      </font>
      <fill>
        <patternFill patternType="solid">
          <fgColor rgb="00FFFBEB"/>
        </patternFill>
      </fill>
    </dxf>
    <dxf>
      <font>
        <b val="1"/>
        <color rgb="00B91C1C"/>
        <sz val="10"/>
      </font>
    </dxf>
    <dxf>
      <font>
        <i val="1"/>
        <color rgb="006B7280"/>
        <sz val="10"/>
      </font>
      <fill>
        <patternFill patternType="solid">
          <fgColor rgb="00F3F4F6"/>
        </patternFill>
      </fill>
    </dxf>
    <dxf>
      <font>
        <b val="1"/>
        <color rgb="001D4ED8"/>
        <sz val="10"/>
      </font>
      <fill>
        <patternFill patternType="solid">
          <fgColor rgb="00EFF6FF"/>
        </patternFill>
      </fill>
    </dxf>
    <dxf>
      <font>
        <b val="1"/>
        <color rgb="00374151"/>
        <sz val="10"/>
      </font>
      <fill>
        <patternFill patternType="solid">
          <fgColor rgb="00F3F4F6"/>
        </patternFill>
      </fill>
    </dxf>
    <dxf>
      <font>
        <b val="1"/>
        <color rgb="00B45309"/>
        <sz val="10"/>
      </font>
      <fill>
        <patternFill patternType="solid">
          <fgColor rgb="00FFFBEB"/>
        </patternFill>
      </fill>
    </dxf>
    <dxf>
      <fill>
        <patternFill patternType="solid">
          <fgColor rgb="00FEF2F2"/>
        </patternFill>
      </fill>
    </dxf>
    <dxf>
      <font>
        <color rgb="0015803D"/>
        <sz val="10"/>
      </font>
      <fill>
        <patternFill patternType="solid">
          <fgColor rgb="00F0FDF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9"/>
  <sheetViews>
    <sheetView showGridLines="0" workbookViewId="0">
      <selection activeCell="A1" sqref="A1"/>
    </sheetView>
  </sheetViews>
  <sheetFormatPr baseColWidth="8" defaultRowHeight="15"/>
  <cols>
    <col width="3" customWidth="1" min="1" max="1"/>
    <col width="30" customWidth="1" min="2" max="2"/>
    <col width="104" customWidth="1" min="3" max="3"/>
  </cols>
  <sheetData>
    <row r="2">
      <c r="B2" s="1" t="inlineStr">
        <is>
          <t>SATE System Test — linked workbook</t>
        </is>
      </c>
    </row>
    <row r="3">
      <c r="B3" s="2" t="inlineStr">
        <is>
          <t>Every table is joined to the others. Nothing here is a typed-in number.</t>
        </is>
      </c>
    </row>
    <row r="6">
      <c r="B6" s="3" t="inlineStr">
        <is>
          <t>HOW THE SHEETS CONNECT</t>
        </is>
      </c>
    </row>
    <row r="7" ht="39" customHeight="1">
      <c r="B7" s="4" t="inlineStr">
        <is>
          <t>Requirements ↔ Test Cases</t>
        </is>
      </c>
      <c r="C7" s="5" t="inlineStr">
        <is>
          <t>Many-to-many. A test case lists its requirements in "Requirement IDs"; a requirement lists its cases in "Linked Test Cases". Both directions are written as real values, so they are correct in any spreadsheet application.</t>
        </is>
      </c>
    </row>
    <row r="8" ht="39" customHeight="1">
      <c r="B8" s="4" t="inlineStr">
        <is>
          <t>Traceability</t>
        </is>
      </c>
      <c r="C8" s="5" t="inlineStr">
        <is>
          <t>The join table itself — one row per (requirement, test case) pair, 181 rows. This is the sheet to filter when you need "everything covering RQ-11" or "every requirement this case touches". The test case status column pulls live from Test Cases.</t>
        </is>
      </c>
    </row>
    <row r="9" ht="39" customHeight="1">
      <c r="B9" s="4" t="inlineStr">
        <is>
          <t>Defect Log → Test Cases</t>
        </is>
      </c>
      <c r="C9" s="5" t="inlineStr">
        <is>
          <t>The Test Case ID column is a dropdown restricted to real IDs, so a defect cannot reference a case that does not exist. Title, Category, Priority and Requirement IDs then fill in by lookup — you type the ID and nothing else.</t>
        </is>
      </c>
    </row>
    <row r="10" ht="26" customHeight="1">
      <c r="B10" s="4" t="inlineStr">
        <is>
          <t>Test Cases → Defect Log</t>
        </is>
      </c>
      <c r="C10" s="5" t="inlineStr">
        <is>
          <t>The "Defects" column counts matching rows in the Defect Log, so a case shows its open defects without you cross-referencing by hand.</t>
        </is>
      </c>
    </row>
    <row r="11" ht="26" customHeight="1">
      <c r="B11" s="4" t="inlineStr">
        <is>
          <t>Summary → Test Cases</t>
        </is>
      </c>
      <c r="C11" s="5" t="inlineStr">
        <is>
          <t>Every figure is a formula over the Test Cases sheet. Change one Status and the whole summary moves. The original workbook had these as constants, which went stale the moment anyone ran a test.</t>
        </is>
      </c>
    </row>
    <row r="12" ht="26" customHeight="1">
      <c r="B12" s="4" t="inlineStr">
        <is>
          <t>Lists</t>
        </is>
      </c>
      <c r="C12" s="5" t="inlineStr">
        <is>
          <t>One controlled vocabulary drives every dropdown in the workbook. Edit it there, not in the sheets that use it.</t>
        </is>
      </c>
    </row>
    <row r="14">
      <c r="B14" s="3" t="inlineStr">
        <is>
          <t>WHAT IS A FORMULA AND WHAT IS DATA</t>
        </is>
      </c>
    </row>
    <row r="15" ht="26" customHeight="1">
      <c r="B15" s="4" t="inlineStr">
        <is>
          <t>Data (safe, permanent)</t>
        </is>
      </c>
      <c r="C15" s="5" t="inlineStr">
        <is>
          <t>Which requirement covers which case. These relationships do not change during a test run, so they are stored as values and cannot break.</t>
        </is>
      </c>
    </row>
    <row r="16" ht="26" customHeight="1">
      <c r="B16" s="4" t="inlineStr">
        <is>
          <t>Formulas (live)</t>
        </is>
      </c>
      <c r="C16" s="5" t="inlineStr">
        <is>
          <t>Anything derived from Status — pass counts, coverage, blockers. Status is the one column that changes while you are testing, so these must recalculate.</t>
        </is>
      </c>
    </row>
    <row r="18">
      <c r="B18" s="3" t="inlineStr">
        <is>
          <t>HOW TO RUN IT</t>
        </is>
      </c>
    </row>
    <row r="19" ht="39" customHeight="1">
      <c r="B19" s="4" t="inlineStr">
        <is>
          <t>1. Settle the blocked requirements</t>
        </is>
      </c>
      <c r="C19" s="5" t="inlineStr">
        <is>
          <t>Ten requirements are still "Needs confirmation" or "Partially defined". A case depending on one cannot pass or fail — mark it Blocked and record what you saw. The "Blocked By" column on Test Cases flags them for you.</t>
        </is>
      </c>
    </row>
    <row r="20" ht="15" customHeight="1">
      <c r="B20" s="4" t="inlineStr">
        <is>
          <t>2. Filter to P0 and work down</t>
        </is>
      </c>
      <c r="C20" s="5" t="inlineStr">
        <is>
          <t>65 of 88 cases are P0. A failed P0 is a release blocker by default.</t>
        </is>
      </c>
    </row>
    <row r="21" ht="26" customHeight="1">
      <c r="B21" s="4" t="inlineStr">
        <is>
          <t>3. Fill Status, then the rest</t>
        </is>
      </c>
      <c r="C21" s="5" t="inlineStr">
        <is>
          <t>Status is the only column the summary depends on. Actual Result, Evidence and Defect ID are for the record.</t>
        </is>
      </c>
    </row>
    <row r="22" ht="15" customHeight="1">
      <c r="B22" s="4" t="inlineStr">
        <is>
          <t>4. Raise defects in the Defect Log</t>
        </is>
      </c>
      <c r="C22" s="5" t="inlineStr">
        <is>
          <t>Pick the Test Case ID from the dropdown; the rest fills itself in.</t>
        </is>
      </c>
    </row>
    <row r="24">
      <c r="B24" s="3" t="inlineStr">
        <is>
          <t>BEFORE YOU TOUCH A DEVICE</t>
        </is>
      </c>
    </row>
    <row r="25" ht="39" customHeight="1">
      <c r="B25" s="4" t="inlineStr">
        <is>
          <t>Check the system is up</t>
        </is>
      </c>
      <c r="C25" s="5" t="inlineStr">
        <is>
          <t>Run "sate infra" in hwtest/ — it probes auth, database, device-api including the v15 verify route, Storage, the Cloudflare worker, the AI queue and device heartbeat. Half of a failed test run is a service that was already down.</t>
        </is>
      </c>
    </row>
    <row r="26" ht="26" customHeight="1">
      <c r="B26" s="4" t="inlineStr">
        <is>
          <t>Use a unique session label</t>
        </is>
      </c>
      <c r="C26" s="5" t="inlineStr">
        <is>
          <t>Say it aloud at the start and end of every recording. It is the only way to prove a transcript belongs to the audio you think it does.</t>
        </is>
      </c>
    </row>
    <row r="28">
      <c r="B28" s="3" t="inlineStr">
        <is>
          <t>COMPANION DOCUMENT</t>
        </is>
      </c>
    </row>
    <row r="29" ht="39" customHeight="1">
      <c r="B29" s="4" t="inlineStr">
        <is>
          <t>doc/13-system-test.md</t>
        </is>
      </c>
      <c r="C29" s="5" t="inlineStr">
        <is>
          <t>The same 88 cases written as step-by-step instructions, each with a server-side note naming the actual table, route and constant to check. The "Server-Side Check" column here is a condensed version of those 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I68"/>
  <sheetViews>
    <sheetView showGridLines="0" workbookViewId="0">
      <selection activeCell="A1" sqref="A1"/>
    </sheetView>
  </sheetViews>
  <sheetFormatPr baseColWidth="8" defaultRowHeight="15"/>
  <cols>
    <col width="3" customWidth="1" min="1" max="1"/>
    <col width="34" customWidth="1" min="2" max="2"/>
    <col width="13" customWidth="1" min="3" max="3"/>
    <col width="13" customWidth="1" min="4" max="4"/>
    <col width="13" customWidth="1" min="5" max="5"/>
    <col width="13" customWidth="1" min="6" max="6"/>
    <col width="13" customWidth="1" min="7" max="7"/>
    <col width="13" customWidth="1" min="8" max="8"/>
    <col width="62" customWidth="1" min="9" max="9"/>
  </cols>
  <sheetData>
    <row r="2">
      <c r="B2" s="1" t="inlineStr">
        <is>
          <t>SATE system test — live summary</t>
        </is>
      </c>
    </row>
    <row r="3">
      <c r="B3" s="2" t="inlineStr">
        <is>
          <t>Every figure below is a formula over the Test Cases sheet. Change a Status and this moves.</t>
        </is>
      </c>
    </row>
    <row r="5">
      <c r="B5" s="3" t="inlineStr">
        <is>
          <t>EXECUTION</t>
        </is>
      </c>
    </row>
    <row r="6">
      <c r="B6" s="6" t="inlineStr">
        <is>
          <t>Metric</t>
        </is>
      </c>
      <c r="C6" s="7" t="inlineStr">
        <is>
          <t>Total</t>
        </is>
      </c>
      <c r="D6" s="7" t="inlineStr">
        <is>
          <t>P0</t>
        </is>
      </c>
      <c r="E6" s="7" t="inlineStr">
        <is>
          <t>P1</t>
        </is>
      </c>
      <c r="F6" s="7" t="inlineStr">
        <is>
          <t>P2</t>
        </is>
      </c>
    </row>
    <row r="7">
      <c r="B7" s="8" t="inlineStr">
        <is>
          <t>Total cases</t>
        </is>
      </c>
      <c r="C7" s="9">
        <f>COUNTA('Test Cases'!$I$2:$I$89)</f>
        <v/>
      </c>
      <c r="D7" s="9">
        <f>COUNTIF('Test Cases'!$I$2:$I$89,"P0")</f>
        <v/>
      </c>
      <c r="E7" s="9">
        <f>COUNTIF('Test Cases'!$I$2:$I$89,"P1")</f>
        <v/>
      </c>
      <c r="F7" s="9">
        <f>COUNTIF('Test Cases'!$I$2:$I$89,"P2")</f>
        <v/>
      </c>
    </row>
    <row r="8">
      <c r="B8" s="10" t="inlineStr">
        <is>
          <t>Not Run</t>
        </is>
      </c>
      <c r="C8" s="9">
        <f>COUNTIF('Test Cases'!$X$2:$X$89,"Not Run")</f>
        <v/>
      </c>
      <c r="D8" s="9">
        <f>COUNTIFS('Test Cases'!$X$2:$X$89,"Not Run",'Test Cases'!$I$2:$I$89,"P0")</f>
        <v/>
      </c>
      <c r="E8" s="9">
        <f>COUNTIFS('Test Cases'!$X$2:$X$89,"Not Run",'Test Cases'!$I$2:$I$89,"P1")</f>
        <v/>
      </c>
      <c r="F8" s="9">
        <f>COUNTIFS('Test Cases'!$X$2:$X$89,"Not Run",'Test Cases'!$I$2:$I$89,"P2")</f>
        <v/>
      </c>
    </row>
    <row r="9">
      <c r="B9" s="10" t="inlineStr">
        <is>
          <t>Pass</t>
        </is>
      </c>
      <c r="C9" s="9">
        <f>COUNTIF('Test Cases'!$X$2:$X$89,"Pass")</f>
        <v/>
      </c>
      <c r="D9" s="9">
        <f>COUNTIFS('Test Cases'!$X$2:$X$89,"Pass",'Test Cases'!$I$2:$I$89,"P0")</f>
        <v/>
      </c>
      <c r="E9" s="9">
        <f>COUNTIFS('Test Cases'!$X$2:$X$89,"Pass",'Test Cases'!$I$2:$I$89,"P1")</f>
        <v/>
      </c>
      <c r="F9" s="9">
        <f>COUNTIFS('Test Cases'!$X$2:$X$89,"Pass",'Test Cases'!$I$2:$I$89,"P2")</f>
        <v/>
      </c>
    </row>
    <row r="10">
      <c r="B10" s="10" t="inlineStr">
        <is>
          <t>Fail</t>
        </is>
      </c>
      <c r="C10" s="9">
        <f>COUNTIF('Test Cases'!$X$2:$X$89,"Fail")</f>
        <v/>
      </c>
      <c r="D10" s="9">
        <f>COUNTIFS('Test Cases'!$X$2:$X$89,"Fail",'Test Cases'!$I$2:$I$89,"P0")</f>
        <v/>
      </c>
      <c r="E10" s="9">
        <f>COUNTIFS('Test Cases'!$X$2:$X$89,"Fail",'Test Cases'!$I$2:$I$89,"P1")</f>
        <v/>
      </c>
      <c r="F10" s="9">
        <f>COUNTIFS('Test Cases'!$X$2:$X$89,"Fail",'Test Cases'!$I$2:$I$89,"P2")</f>
        <v/>
      </c>
    </row>
    <row r="11">
      <c r="B11" s="10" t="inlineStr">
        <is>
          <t>Blocked</t>
        </is>
      </c>
      <c r="C11" s="9">
        <f>COUNTIF('Test Cases'!$X$2:$X$89,"Blocked")</f>
        <v/>
      </c>
      <c r="D11" s="9">
        <f>COUNTIFS('Test Cases'!$X$2:$X$89,"Blocked",'Test Cases'!$I$2:$I$89,"P0")</f>
        <v/>
      </c>
      <c r="E11" s="9">
        <f>COUNTIFS('Test Cases'!$X$2:$X$89,"Blocked",'Test Cases'!$I$2:$I$89,"P1")</f>
        <v/>
      </c>
      <c r="F11" s="9">
        <f>COUNTIFS('Test Cases'!$X$2:$X$89,"Blocked",'Test Cases'!$I$2:$I$89,"P2")</f>
        <v/>
      </c>
    </row>
    <row r="12">
      <c r="B12" s="10" t="inlineStr">
        <is>
          <t>Skipped</t>
        </is>
      </c>
      <c r="C12" s="9">
        <f>COUNTIF('Test Cases'!$X$2:$X$89,"Skipped")</f>
        <v/>
      </c>
      <c r="D12" s="9">
        <f>COUNTIFS('Test Cases'!$X$2:$X$89,"Skipped",'Test Cases'!$I$2:$I$89,"P0")</f>
        <v/>
      </c>
      <c r="E12" s="9">
        <f>COUNTIFS('Test Cases'!$X$2:$X$89,"Skipped",'Test Cases'!$I$2:$I$89,"P1")</f>
        <v/>
      </c>
      <c r="F12" s="9">
        <f>COUNTIFS('Test Cases'!$X$2:$X$89,"Skipped",'Test Cases'!$I$2:$I$89,"P2")</f>
        <v/>
      </c>
    </row>
    <row r="13">
      <c r="B13" s="8" t="inlineStr">
        <is>
          <t>Executed</t>
        </is>
      </c>
      <c r="C13" s="11">
        <f>C9+C10+C11</f>
        <v/>
      </c>
    </row>
    <row r="14">
      <c r="B14" s="8" t="inlineStr">
        <is>
          <t>Progress</t>
        </is>
      </c>
      <c r="C14" s="12">
        <f>IF(C7=0,0,(C9+C10+C11)/C7)</f>
        <v/>
      </c>
    </row>
    <row r="16">
      <c r="B16" s="3" t="inlineStr">
        <is>
          <t>RELEASE GATE</t>
        </is>
      </c>
    </row>
    <row r="17">
      <c r="B17" s="8" t="inlineStr">
        <is>
          <t>P0 failures</t>
        </is>
      </c>
      <c r="C17" s="11">
        <f>COUNTIFS('Test Cases'!$X$2:$X$89,"Fail",'Test Cases'!$I$2:$I$89,"P0")</f>
        <v/>
      </c>
      <c r="D17" s="13">
        <f>IF(C17=0,"CLEAR","BLOCKED")</f>
        <v/>
      </c>
    </row>
    <row r="18">
      <c r="B18" s="10" t="inlineStr">
        <is>
          <t>Open defects</t>
        </is>
      </c>
      <c r="C18" s="11">
        <f>COUNTIFS('Defect Log'!$I$2:$I$201,"Open")</f>
        <v/>
      </c>
    </row>
    <row r="19">
      <c r="B19" s="10" t="inlineStr">
        <is>
          <t>Release blockers logged</t>
        </is>
      </c>
      <c r="C19" s="11">
        <f>COUNTIF('Defect Log'!$H$2:$H$201,"Release Blocker")</f>
        <v/>
      </c>
    </row>
    <row r="20">
      <c r="B20" s="10" t="inlineStr">
        <is>
          <t>Cases blocked by undecided requirements</t>
        </is>
      </c>
      <c r="C20" s="11">
        <f>COUNTIF('Test Cases'!$M$2:$M$89,"?*")</f>
        <v/>
      </c>
    </row>
    <row r="23">
      <c r="B23" s="3" t="inlineStr">
        <is>
          <t>SCOPE OF THIS RUN</t>
        </is>
      </c>
    </row>
    <row r="24">
      <c r="B24" s="2" t="inlineStr">
        <is>
          <t>Mobile app and pendant are OUT of scope. Recorder, backend, web app and PDF are in.</t>
        </is>
      </c>
    </row>
    <row r="25">
      <c r="B25" s="14" t="inlineStr">
        <is>
          <t>Scope</t>
        </is>
      </c>
      <c r="C25" s="7" t="inlineStr">
        <is>
          <t>Cases</t>
        </is>
      </c>
      <c r="D25" s="7" t="inlineStr">
        <is>
          <t>P0</t>
        </is>
      </c>
      <c r="E25" s="7" t="inlineStr">
        <is>
          <t>Pass</t>
        </is>
      </c>
      <c r="F25" s="7" t="inlineStr">
        <is>
          <t>Fail</t>
        </is>
      </c>
      <c r="G25" s="7" t="inlineStr">
        <is>
          <t>Blocked</t>
        </is>
      </c>
      <c r="H25" s="7" t="inlineStr">
        <is>
          <t>Not Run</t>
        </is>
      </c>
    </row>
    <row r="26">
      <c r="B26" s="15" t="inlineStr">
        <is>
          <t>In scope</t>
        </is>
      </c>
      <c r="C26" s="9">
        <f>COUNTIF('Test Cases'!$B$2:$B$89,$B26)</f>
        <v/>
      </c>
      <c r="D26" s="9">
        <f>COUNTIFS('Test Cases'!$B$2:$B$89,$B26,'Test Cases'!$I$2:$I$89,"P0")</f>
        <v/>
      </c>
      <c r="E26" s="9">
        <f>COUNTIFS('Test Cases'!$B$2:$B$89,$B26,'Test Cases'!$X$2:$X$89,"Pass")</f>
        <v/>
      </c>
      <c r="F26" s="9">
        <f>COUNTIFS('Test Cases'!$B$2:$B$89,$B26,'Test Cases'!$X$2:$X$89,"Fail")</f>
        <v/>
      </c>
      <c r="G26" s="9">
        <f>COUNTIFS('Test Cases'!$B$2:$B$89,$B26,'Test Cases'!$X$2:$X$89,"Blocked")</f>
        <v/>
      </c>
      <c r="H26" s="9">
        <f>COUNTIFS('Test Cases'!$B$2:$B$89,$B26,'Test Cases'!$X$2:$X$89,"Not Run")</f>
        <v/>
      </c>
    </row>
    <row r="27">
      <c r="B27" s="15" t="inlineStr">
        <is>
          <t>In scope (reduced)</t>
        </is>
      </c>
      <c r="C27" s="9">
        <f>COUNTIF('Test Cases'!$B$2:$B$89,$B27)</f>
        <v/>
      </c>
      <c r="D27" s="9">
        <f>COUNTIFS('Test Cases'!$B$2:$B$89,$B27,'Test Cases'!$I$2:$I$89,"P0")</f>
        <v/>
      </c>
      <c r="E27" s="9">
        <f>COUNTIFS('Test Cases'!$B$2:$B$89,$B27,'Test Cases'!$X$2:$X$89,"Pass")</f>
        <v/>
      </c>
      <c r="F27" s="9">
        <f>COUNTIFS('Test Cases'!$B$2:$B$89,$B27,'Test Cases'!$X$2:$X$89,"Fail")</f>
        <v/>
      </c>
      <c r="G27" s="9">
        <f>COUNTIFS('Test Cases'!$B$2:$B$89,$B27,'Test Cases'!$X$2:$X$89,"Blocked")</f>
        <v/>
      </c>
      <c r="H27" s="9">
        <f>COUNTIFS('Test Cases'!$B$2:$B$89,$B27,'Test Cases'!$X$2:$X$89,"Not Run")</f>
        <v/>
      </c>
    </row>
    <row r="28">
      <c r="B28" s="15" t="inlineStr">
        <is>
          <t>Deferred - mobile app</t>
        </is>
      </c>
      <c r="C28" s="9">
        <f>COUNTIF('Test Cases'!$B$2:$B$89,$B28)</f>
        <v/>
      </c>
      <c r="D28" s="9">
        <f>COUNTIFS('Test Cases'!$B$2:$B$89,$B28,'Test Cases'!$I$2:$I$89,"P0")</f>
        <v/>
      </c>
      <c r="E28" s="9">
        <f>COUNTIFS('Test Cases'!$B$2:$B$89,$B28,'Test Cases'!$X$2:$X$89,"Pass")</f>
        <v/>
      </c>
      <c r="F28" s="9">
        <f>COUNTIFS('Test Cases'!$B$2:$B$89,$B28,'Test Cases'!$X$2:$X$89,"Fail")</f>
        <v/>
      </c>
      <c r="G28" s="9">
        <f>COUNTIFS('Test Cases'!$B$2:$B$89,$B28,'Test Cases'!$X$2:$X$89,"Blocked")</f>
        <v/>
      </c>
      <c r="H28" s="9">
        <f>COUNTIFS('Test Cases'!$B$2:$B$89,$B28,'Test Cases'!$X$2:$X$89,"Not Run")</f>
        <v/>
      </c>
    </row>
    <row r="29">
      <c r="B29" s="15" t="inlineStr">
        <is>
          <t>Deferred - pendant / BLE</t>
        </is>
      </c>
      <c r="C29" s="9">
        <f>COUNTIF('Test Cases'!$B$2:$B$89,$B29)</f>
        <v/>
      </c>
      <c r="D29" s="9">
        <f>COUNTIFS('Test Cases'!$B$2:$B$89,$B29,'Test Cases'!$I$2:$I$89,"P0")</f>
        <v/>
      </c>
      <c r="E29" s="9">
        <f>COUNTIFS('Test Cases'!$B$2:$B$89,$B29,'Test Cases'!$X$2:$X$89,"Pass")</f>
        <v/>
      </c>
      <c r="F29" s="9">
        <f>COUNTIFS('Test Cases'!$B$2:$B$89,$B29,'Test Cases'!$X$2:$X$89,"Fail")</f>
        <v/>
      </c>
      <c r="G29" s="9">
        <f>COUNTIFS('Test Cases'!$B$2:$B$89,$B29,'Test Cases'!$X$2:$X$89,"Blocked")</f>
        <v/>
      </c>
      <c r="H29" s="9">
        <f>COUNTIFS('Test Cases'!$B$2:$B$89,$B29,'Test Cases'!$X$2:$X$89,"Not Run")</f>
        <v/>
      </c>
    </row>
    <row r="30">
      <c r="B30" s="16" t="inlineStr">
        <is>
          <t>RUNNING THIS PASS</t>
        </is>
      </c>
      <c r="C30" s="17">
        <f>C26+C27</f>
        <v/>
      </c>
      <c r="D30" s="17">
        <f>D26+D27</f>
        <v/>
      </c>
    </row>
    <row r="33">
      <c r="B33" s="3" t="inlineStr">
        <is>
          <t>WHO RUNS WHAT</t>
        </is>
      </c>
    </row>
    <row r="34">
      <c r="B34" s="14" t="inlineStr">
        <is>
          <t>Test Side</t>
        </is>
      </c>
      <c r="C34" s="7" t="inlineStr">
        <is>
          <t>Cases</t>
        </is>
      </c>
      <c r="D34" s="7" t="inlineStr">
        <is>
          <t>P0</t>
        </is>
      </c>
      <c r="E34" s="7" t="inlineStr">
        <is>
          <t>Pass</t>
        </is>
      </c>
      <c r="F34" s="7" t="inlineStr">
        <is>
          <t>Fail</t>
        </is>
      </c>
      <c r="G34" s="7" t="inlineStr">
        <is>
          <t>Blocked</t>
        </is>
      </c>
      <c r="H34" s="7" t="inlineStr">
        <is>
          <t>Not Run</t>
        </is>
      </c>
    </row>
    <row r="35">
      <c r="B35" s="15" t="inlineStr">
        <is>
          <t>End User</t>
        </is>
      </c>
      <c r="C35" s="9">
        <f>COUNTIF('Test Cases'!$D$2:$D$89,$B35)</f>
        <v/>
      </c>
      <c r="D35" s="9">
        <f>COUNTIFS('Test Cases'!$D$2:$D$89,$B35,'Test Cases'!$I$2:$I$89,"P0")</f>
        <v/>
      </c>
      <c r="E35" s="9">
        <f>COUNTIFS('Test Cases'!$D$2:$D$89,$B35,'Test Cases'!$X$2:$X$89,"Pass")</f>
        <v/>
      </c>
      <c r="F35" s="9">
        <f>COUNTIFS('Test Cases'!$D$2:$D$89,$B35,'Test Cases'!$X$2:$X$89,"Fail")</f>
        <v/>
      </c>
      <c r="G35" s="9">
        <f>COUNTIFS('Test Cases'!$D$2:$D$89,$B35,'Test Cases'!$X$2:$X$89,"Blocked")</f>
        <v/>
      </c>
      <c r="H35" s="9">
        <f>COUNTIFS('Test Cases'!$D$2:$D$89,$B35,'Test Cases'!$X$2:$X$89,"Not Run")</f>
        <v/>
      </c>
      <c r="I35" s="18" t="inlineStr">
        <is>
          <t>Tester alone — recorder, phone, browser. No backend access needed.</t>
        </is>
      </c>
    </row>
    <row r="36">
      <c r="B36" s="15" t="inlineStr">
        <is>
          <t>Both</t>
        </is>
      </c>
      <c r="C36" s="9">
        <f>COUNTIF('Test Cases'!$D$2:$D$89,$B36)</f>
        <v/>
      </c>
      <c r="D36" s="9">
        <f>COUNTIFS('Test Cases'!$D$2:$D$89,$B36,'Test Cases'!$I$2:$I$89,"P0")</f>
        <v/>
      </c>
      <c r="E36" s="9">
        <f>COUNTIFS('Test Cases'!$D$2:$D$89,$B36,'Test Cases'!$X$2:$X$89,"Pass")</f>
        <v/>
      </c>
      <c r="F36" s="9">
        <f>COUNTIFS('Test Cases'!$D$2:$D$89,$B36,'Test Cases'!$X$2:$X$89,"Fail")</f>
        <v/>
      </c>
      <c r="G36" s="9">
        <f>COUNTIFS('Test Cases'!$D$2:$D$89,$B36,'Test Cases'!$X$2:$X$89,"Blocked")</f>
        <v/>
      </c>
      <c r="H36" s="9">
        <f>COUNTIFS('Test Cases'!$D$2:$D$89,$B36,'Test Cases'!$X$2:$X$89,"Not Run")</f>
        <v/>
      </c>
      <c r="I36" s="18" t="inlineStr">
        <is>
          <t>User performs it; pass/fail needs a server check. Plan for two people.</t>
        </is>
      </c>
    </row>
    <row r="37">
      <c r="B37" s="15" t="inlineStr">
        <is>
          <t>Server Side</t>
        </is>
      </c>
      <c r="C37" s="9">
        <f>COUNTIF('Test Cases'!$D$2:$D$89,$B37)</f>
        <v/>
      </c>
      <c r="D37" s="9">
        <f>COUNTIFS('Test Cases'!$D$2:$D$89,$B37,'Test Cases'!$I$2:$I$89,"P0")</f>
        <v/>
      </c>
      <c r="E37" s="9">
        <f>COUNTIFS('Test Cases'!$D$2:$D$89,$B37,'Test Cases'!$X$2:$X$89,"Pass")</f>
        <v/>
      </c>
      <c r="F37" s="9">
        <f>COUNTIFS('Test Cases'!$D$2:$D$89,$B37,'Test Cases'!$X$2:$X$89,"Fail")</f>
        <v/>
      </c>
      <c r="G37" s="9">
        <f>COUNTIFS('Test Cases'!$D$2:$D$89,$B37,'Test Cases'!$X$2:$X$89,"Blocked")</f>
        <v/>
      </c>
      <c r="H37" s="9">
        <f>COUNTIFS('Test Cases'!$D$2:$D$89,$B37,'Test Cases'!$X$2:$X$89,"Not Run")</f>
        <v/>
      </c>
      <c r="I37" s="18" t="inlineStr">
        <is>
          <t>Cannot be judged from the UI. Fault injection and queue inspection.</t>
        </is>
      </c>
    </row>
    <row r="40">
      <c r="B40" s="3" t="inlineStr">
        <is>
          <t>BY CATEGORY</t>
        </is>
      </c>
    </row>
    <row r="41">
      <c r="B41" s="14" t="inlineStr">
        <is>
          <t>Category</t>
        </is>
      </c>
      <c r="C41" s="7" t="inlineStr">
        <is>
          <t>Cases</t>
        </is>
      </c>
      <c r="D41" s="7" t="inlineStr">
        <is>
          <t>P0</t>
        </is>
      </c>
      <c r="E41" s="7" t="inlineStr">
        <is>
          <t>Pass</t>
        </is>
      </c>
      <c r="F41" s="7" t="inlineStr">
        <is>
          <t>Fail</t>
        </is>
      </c>
      <c r="G41" s="7" t="inlineStr">
        <is>
          <t>Blocked</t>
        </is>
      </c>
      <c r="H41" s="7" t="inlineStr">
        <is>
          <t>Not Run</t>
        </is>
      </c>
    </row>
    <row r="42">
      <c r="B42" s="19" t="inlineStr">
        <is>
          <t>BLE and Device Connectivity</t>
        </is>
      </c>
      <c r="C42" s="9">
        <f>COUNTIF('Test Cases'!$G$2:$G$89,$B42)</f>
        <v/>
      </c>
      <c r="D42" s="9">
        <f>COUNTIFS('Test Cases'!$G$2:$G$89,$B42,'Test Cases'!$I$2:$I$89,"P0")</f>
        <v/>
      </c>
      <c r="E42" s="9">
        <f>COUNTIFS('Test Cases'!$G$2:$G$89,$B42,'Test Cases'!$X$2:$X$89,"Pass")</f>
        <v/>
      </c>
      <c r="F42" s="9">
        <f>COUNTIFS('Test Cases'!$G$2:$G$89,$B42,'Test Cases'!$X$2:$X$89,"Fail")</f>
        <v/>
      </c>
      <c r="G42" s="9">
        <f>COUNTIFS('Test Cases'!$G$2:$G$89,$B42,'Test Cases'!$X$2:$X$89,"Blocked")</f>
        <v/>
      </c>
      <c r="H42" s="9">
        <f>COUNTIFS('Test Cases'!$G$2:$G$89,$B42,'Test Cases'!$X$2:$X$89,"Not Run")</f>
        <v/>
      </c>
    </row>
    <row r="43">
      <c r="B43" s="19" t="inlineStr">
        <is>
          <t>Backend, Retry, and AI Processing</t>
        </is>
      </c>
      <c r="C43" s="9">
        <f>COUNTIF('Test Cases'!$G$2:$G$89,$B43)</f>
        <v/>
      </c>
      <c r="D43" s="9">
        <f>COUNTIFS('Test Cases'!$G$2:$G$89,$B43,'Test Cases'!$I$2:$I$89,"P0")</f>
        <v/>
      </c>
      <c r="E43" s="9">
        <f>COUNTIFS('Test Cases'!$G$2:$G$89,$B43,'Test Cases'!$X$2:$X$89,"Pass")</f>
        <v/>
      </c>
      <c r="F43" s="9">
        <f>COUNTIFS('Test Cases'!$G$2:$G$89,$B43,'Test Cases'!$X$2:$X$89,"Fail")</f>
        <v/>
      </c>
      <c r="G43" s="9">
        <f>COUNTIFS('Test Cases'!$G$2:$G$89,$B43,'Test Cases'!$X$2:$X$89,"Blocked")</f>
        <v/>
      </c>
      <c r="H43" s="9">
        <f>COUNTIFS('Test Cases'!$G$2:$G$89,$B43,'Test Cases'!$X$2:$X$89,"Not Run")</f>
        <v/>
      </c>
    </row>
    <row r="44">
      <c r="B44" s="19" t="inlineStr">
        <is>
          <t>Compatibility and Deployment</t>
        </is>
      </c>
      <c r="C44" s="9">
        <f>COUNTIF('Test Cases'!$G$2:$G$89,$B44)</f>
        <v/>
      </c>
      <c r="D44" s="9">
        <f>COUNTIFS('Test Cases'!$G$2:$G$89,$B44,'Test Cases'!$I$2:$I$89,"P0")</f>
        <v/>
      </c>
      <c r="E44" s="9">
        <f>COUNTIFS('Test Cases'!$G$2:$G$89,$B44,'Test Cases'!$X$2:$X$89,"Pass")</f>
        <v/>
      </c>
      <c r="F44" s="9">
        <f>COUNTIFS('Test Cases'!$G$2:$G$89,$B44,'Test Cases'!$X$2:$X$89,"Fail")</f>
        <v/>
      </c>
      <c r="G44" s="9">
        <f>COUNTIFS('Test Cases'!$G$2:$G$89,$B44,'Test Cases'!$X$2:$X$89,"Blocked")</f>
        <v/>
      </c>
      <c r="H44" s="9">
        <f>COUNTIFS('Test Cases'!$G$2:$G$89,$B44,'Test Cases'!$X$2:$X$89,"Not Run")</f>
        <v/>
      </c>
    </row>
    <row r="45">
      <c r="B45" s="19" t="inlineStr">
        <is>
          <t>End-to-End Recording and Sync</t>
        </is>
      </c>
      <c r="C45" s="9">
        <f>COUNTIF('Test Cases'!$G$2:$G$89,$B45)</f>
        <v/>
      </c>
      <c r="D45" s="9">
        <f>COUNTIFS('Test Cases'!$G$2:$G$89,$B45,'Test Cases'!$I$2:$I$89,"P0")</f>
        <v/>
      </c>
      <c r="E45" s="9">
        <f>COUNTIFS('Test Cases'!$G$2:$G$89,$B45,'Test Cases'!$X$2:$X$89,"Pass")</f>
        <v/>
      </c>
      <c r="F45" s="9">
        <f>COUNTIFS('Test Cases'!$G$2:$G$89,$B45,'Test Cases'!$X$2:$X$89,"Fail")</f>
        <v/>
      </c>
      <c r="G45" s="9">
        <f>COUNTIFS('Test Cases'!$G$2:$G$89,$B45,'Test Cases'!$X$2:$X$89,"Blocked")</f>
        <v/>
      </c>
      <c r="H45" s="9">
        <f>COUNTIFS('Test Cases'!$G$2:$G$89,$B45,'Test Cases'!$X$2:$X$89,"Not Run")</f>
        <v/>
      </c>
    </row>
    <row r="46">
      <c r="B46" s="19" t="inlineStr">
        <is>
          <t>Long Session and Performance</t>
        </is>
      </c>
      <c r="C46" s="9">
        <f>COUNTIF('Test Cases'!$G$2:$G$89,$B46)</f>
        <v/>
      </c>
      <c r="D46" s="9">
        <f>COUNTIFS('Test Cases'!$G$2:$G$89,$B46,'Test Cases'!$I$2:$I$89,"P0")</f>
        <v/>
      </c>
      <c r="E46" s="9">
        <f>COUNTIFS('Test Cases'!$G$2:$G$89,$B46,'Test Cases'!$X$2:$X$89,"Pass")</f>
        <v/>
      </c>
      <c r="F46" s="9">
        <f>COUNTIFS('Test Cases'!$G$2:$G$89,$B46,'Test Cases'!$X$2:$X$89,"Fail")</f>
        <v/>
      </c>
      <c r="G46" s="9">
        <f>COUNTIFS('Test Cases'!$G$2:$G$89,$B46,'Test Cases'!$X$2:$X$89,"Blocked")</f>
        <v/>
      </c>
      <c r="H46" s="9">
        <f>COUNTIFS('Test Cases'!$G$2:$G$89,$B46,'Test Cases'!$X$2:$X$89,"Not Run")</f>
        <v/>
      </c>
    </row>
    <row r="47">
      <c r="B47" s="19" t="inlineStr">
        <is>
          <t>Mobile App Lifecycle and Authentication</t>
        </is>
      </c>
      <c r="C47" s="9">
        <f>COUNTIF('Test Cases'!$G$2:$G$89,$B47)</f>
        <v/>
      </c>
      <c r="D47" s="9">
        <f>COUNTIFS('Test Cases'!$G$2:$G$89,$B47,'Test Cases'!$I$2:$I$89,"P0")</f>
        <v/>
      </c>
      <c r="E47" s="9">
        <f>COUNTIFS('Test Cases'!$G$2:$G$89,$B47,'Test Cases'!$X$2:$X$89,"Pass")</f>
        <v/>
      </c>
      <c r="F47" s="9">
        <f>COUNTIFS('Test Cases'!$G$2:$G$89,$B47,'Test Cases'!$X$2:$X$89,"Fail")</f>
        <v/>
      </c>
      <c r="G47" s="9">
        <f>COUNTIFS('Test Cases'!$G$2:$G$89,$B47,'Test Cases'!$X$2:$X$89,"Blocked")</f>
        <v/>
      </c>
      <c r="H47" s="9">
        <f>COUNTIFS('Test Cases'!$G$2:$G$89,$B47,'Test Cases'!$X$2:$X$89,"Not Run")</f>
        <v/>
      </c>
    </row>
    <row r="48">
      <c r="B48" s="19" t="inlineStr">
        <is>
          <t>Network, Offline, and Upload Recovery</t>
        </is>
      </c>
      <c r="C48" s="9">
        <f>COUNTIF('Test Cases'!$G$2:$G$89,$B48)</f>
        <v/>
      </c>
      <c r="D48" s="9">
        <f>COUNTIFS('Test Cases'!$G$2:$G$89,$B48,'Test Cases'!$I$2:$I$89,"P0")</f>
        <v/>
      </c>
      <c r="E48" s="9">
        <f>COUNTIFS('Test Cases'!$G$2:$G$89,$B48,'Test Cases'!$X$2:$X$89,"Pass")</f>
        <v/>
      </c>
      <c r="F48" s="9">
        <f>COUNTIFS('Test Cases'!$G$2:$G$89,$B48,'Test Cases'!$X$2:$X$89,"Fail")</f>
        <v/>
      </c>
      <c r="G48" s="9">
        <f>COUNTIFS('Test Cases'!$G$2:$G$89,$B48,'Test Cases'!$X$2:$X$89,"Blocked")</f>
        <v/>
      </c>
      <c r="H48" s="9">
        <f>COUNTIFS('Test Cases'!$G$2:$G$89,$B48,'Test Cases'!$X$2:$X$89,"Not Run")</f>
        <v/>
      </c>
    </row>
    <row r="49">
      <c r="B49" s="19" t="inlineStr">
        <is>
          <t>PDF Export</t>
        </is>
      </c>
      <c r="C49" s="9">
        <f>COUNTIF('Test Cases'!$G$2:$G$89,$B49)</f>
        <v/>
      </c>
      <c r="D49" s="9">
        <f>COUNTIFS('Test Cases'!$G$2:$G$89,$B49,'Test Cases'!$I$2:$I$89,"P0")</f>
        <v/>
      </c>
      <c r="E49" s="9">
        <f>COUNTIFS('Test Cases'!$G$2:$G$89,$B49,'Test Cases'!$X$2:$X$89,"Pass")</f>
        <v/>
      </c>
      <c r="F49" s="9">
        <f>COUNTIFS('Test Cases'!$G$2:$G$89,$B49,'Test Cases'!$X$2:$X$89,"Fail")</f>
        <v/>
      </c>
      <c r="G49" s="9">
        <f>COUNTIFS('Test Cases'!$G$2:$G$89,$B49,'Test Cases'!$X$2:$X$89,"Blocked")</f>
        <v/>
      </c>
      <c r="H49" s="9">
        <f>COUNTIFS('Test Cases'!$G$2:$G$89,$B49,'Test Cases'!$X$2:$X$89,"Not Run")</f>
        <v/>
      </c>
    </row>
    <row r="50">
      <c r="B50" s="19" t="inlineStr">
        <is>
          <t>Queue, Batch, and Concurrency</t>
        </is>
      </c>
      <c r="C50" s="9">
        <f>COUNTIF('Test Cases'!$G$2:$G$89,$B50)</f>
        <v/>
      </c>
      <c r="D50" s="9">
        <f>COUNTIFS('Test Cases'!$G$2:$G$89,$B50,'Test Cases'!$I$2:$I$89,"P0")</f>
        <v/>
      </c>
      <c r="E50" s="9">
        <f>COUNTIFS('Test Cases'!$G$2:$G$89,$B50,'Test Cases'!$X$2:$X$89,"Pass")</f>
        <v/>
      </c>
      <c r="F50" s="9">
        <f>COUNTIFS('Test Cases'!$G$2:$G$89,$B50,'Test Cases'!$X$2:$X$89,"Fail")</f>
        <v/>
      </c>
      <c r="G50" s="9">
        <f>COUNTIFS('Test Cases'!$G$2:$G$89,$B50,'Test Cases'!$X$2:$X$89,"Blocked")</f>
        <v/>
      </c>
      <c r="H50" s="9">
        <f>COUNTIFS('Test Cases'!$G$2:$G$89,$B50,'Test Cases'!$X$2:$X$89,"Not Run")</f>
        <v/>
      </c>
    </row>
    <row r="51">
      <c r="B51" s="19" t="inlineStr">
        <is>
          <t>Recorder Interruption and Local Persistence</t>
        </is>
      </c>
      <c r="C51" s="9">
        <f>COUNTIF('Test Cases'!$G$2:$G$89,$B51)</f>
        <v/>
      </c>
      <c r="D51" s="9">
        <f>COUNTIFS('Test Cases'!$G$2:$G$89,$B51,'Test Cases'!$I$2:$I$89,"P0")</f>
        <v/>
      </c>
      <c r="E51" s="9">
        <f>COUNTIFS('Test Cases'!$G$2:$G$89,$B51,'Test Cases'!$X$2:$X$89,"Pass")</f>
        <v/>
      </c>
      <c r="F51" s="9">
        <f>COUNTIFS('Test Cases'!$G$2:$G$89,$B51,'Test Cases'!$X$2:$X$89,"Fail")</f>
        <v/>
      </c>
      <c r="G51" s="9">
        <f>COUNTIFS('Test Cases'!$G$2:$G$89,$B51,'Test Cases'!$X$2:$X$89,"Blocked")</f>
        <v/>
      </c>
      <c r="H51" s="9">
        <f>COUNTIFS('Test Cases'!$G$2:$G$89,$B51,'Test Cases'!$X$2:$X$89,"Not Run")</f>
        <v/>
      </c>
    </row>
    <row r="52">
      <c r="B52" s="19" t="inlineStr">
        <is>
          <t>Security, Privacy, and Data Isolation</t>
        </is>
      </c>
      <c r="C52" s="9">
        <f>COUNTIF('Test Cases'!$G$2:$G$89,$B52)</f>
        <v/>
      </c>
      <c r="D52" s="9">
        <f>COUNTIFS('Test Cases'!$G$2:$G$89,$B52,'Test Cases'!$I$2:$I$89,"P0")</f>
        <v/>
      </c>
      <c r="E52" s="9">
        <f>COUNTIFS('Test Cases'!$G$2:$G$89,$B52,'Test Cases'!$X$2:$X$89,"Pass")</f>
        <v/>
      </c>
      <c r="F52" s="9">
        <f>COUNTIFS('Test Cases'!$G$2:$G$89,$B52,'Test Cases'!$X$2:$X$89,"Fail")</f>
        <v/>
      </c>
      <c r="G52" s="9">
        <f>COUNTIFS('Test Cases'!$G$2:$G$89,$B52,'Test Cases'!$X$2:$X$89,"Blocked")</f>
        <v/>
      </c>
      <c r="H52" s="9">
        <f>COUNTIFS('Test Cases'!$G$2:$G$89,$B52,'Test Cases'!$X$2:$X$89,"Not Run")</f>
        <v/>
      </c>
    </row>
    <row r="53">
      <c r="B53" s="19" t="inlineStr">
        <is>
          <t>Web Transcript Review</t>
        </is>
      </c>
      <c r="C53" s="9">
        <f>COUNTIF('Test Cases'!$G$2:$G$89,$B53)</f>
        <v/>
      </c>
      <c r="D53" s="9">
        <f>COUNTIFS('Test Cases'!$G$2:$G$89,$B53,'Test Cases'!$I$2:$I$89,"P0")</f>
        <v/>
      </c>
      <c r="E53" s="9">
        <f>COUNTIFS('Test Cases'!$G$2:$G$89,$B53,'Test Cases'!$X$2:$X$89,"Pass")</f>
        <v/>
      </c>
      <c r="F53" s="9">
        <f>COUNTIFS('Test Cases'!$G$2:$G$89,$B53,'Test Cases'!$X$2:$X$89,"Fail")</f>
        <v/>
      </c>
      <c r="G53" s="9">
        <f>COUNTIFS('Test Cases'!$G$2:$G$89,$B53,'Test Cases'!$X$2:$X$89,"Blocked")</f>
        <v/>
      </c>
      <c r="H53" s="9">
        <f>COUNTIFS('Test Cases'!$G$2:$G$89,$B53,'Test Cases'!$X$2:$X$89,"Not Run")</f>
        <v/>
      </c>
    </row>
    <row r="56">
      <c r="B56" s="3" t="inlineStr">
        <is>
          <t>REQUIREMENTS</t>
        </is>
      </c>
    </row>
    <row r="57">
      <c r="B57" s="10" t="inlineStr">
        <is>
          <t>Total requirements</t>
        </is>
      </c>
      <c r="C57" s="20">
        <f>COUNTA(Requirements!$A$2:$A$23)</f>
        <v/>
      </c>
    </row>
    <row r="58">
      <c r="B58" s="10" t="inlineStr">
        <is>
          <t>Still undecided (needs confirmation / partial)</t>
        </is>
      </c>
      <c r="C58" s="20">
        <f>COUNTIF(Requirements!$C$2:$C$23,"Needs confirmation")+COUNTIF(Requirements!$C$2:$C$23,"Partially defined")</f>
        <v/>
      </c>
    </row>
    <row r="59">
      <c r="B59" s="10" t="inlineStr">
        <is>
          <t>Uncovered by any test case</t>
        </is>
      </c>
      <c r="C59" s="20">
        <f>COUNTIF(Requirements!$L$2:$L$23,"UNCOVERED")</f>
        <v/>
      </c>
    </row>
    <row r="60">
      <c r="B60" s="10" t="inlineStr">
        <is>
          <t>Requirements with a failing case</t>
        </is>
      </c>
      <c r="C60" s="20">
        <f>COUNTIF(Requirements!$L$2:$L$23,"Failing")</f>
        <v/>
      </c>
    </row>
    <row r="61">
      <c r="B61" s="10" t="inlineStr">
        <is>
          <t>Requirement ↔ test case links (Traceability rows)</t>
        </is>
      </c>
      <c r="C61" s="20" t="n">
        <v>181</v>
      </c>
    </row>
    <row r="64">
      <c r="B64" s="3" t="inlineStr">
        <is>
          <t>KNOWN DEFECTS — EXPECT THESE</t>
        </is>
      </c>
    </row>
    <row r="65" ht="26" customHeight="1">
      <c r="B65" s="21" t="inlineStr">
        <is>
          <t>SATE-SEC-005</t>
        </is>
      </c>
      <c r="C65" s="5" t="inlineStr">
        <is>
          <t>POST /firmware is routed above the /admin gate — any authenticated user can push fleet-wide OTA.</t>
        </is>
      </c>
    </row>
    <row r="66" ht="26" customHeight="1">
      <c r="B66" s="21" t="inlineStr">
        <is>
          <t>SATE-BE-008</t>
        </is>
      </c>
      <c r="C66" s="5" t="inlineStr">
        <is>
          <t>The process-device-session copy in the repo is not the production no-op; deploying it duplicates every recording.</t>
        </is>
      </c>
    </row>
    <row r="67" ht="26" customHeight="1">
      <c r="B67" s="21" t="inlineStr">
        <is>
          <t>SATE-E2E-006, SATE-QUE-006</t>
        </is>
      </c>
      <c r="C67" s="5" t="inlineStr">
        <is>
          <t>Upload dedup relies on a probe with no database unique constraint behind it.</t>
        </is>
      </c>
    </row>
    <row r="68" ht="26" customHeight="1">
      <c r="B68" s="21" t="inlineStr">
        <is>
          <t>SATE-LONG-002/003</t>
        </is>
      </c>
      <c r="C68" s="5" t="inlineStr">
        <is>
          <t>Storage's project-wide file size limit overrides the bucket's; a full take is ~118 MB.</t>
        </is>
      </c>
    </row>
  </sheetData>
  <mergeCells count="5">
    <mergeCell ref="C65:H65"/>
    <mergeCell ref="C66:H66"/>
    <mergeCell ref="B24:H24"/>
    <mergeCell ref="C68:H68"/>
    <mergeCell ref="C67:H67"/>
  </mergeCells>
  <conditionalFormatting sqref="D17">
    <cfRule type="cellIs" priority="1" operator="equal" dxfId="0">
      <formula>"BLOCKED"</formula>
    </cfRule>
    <cfRule type="cellIs" priority="2" operator="equal" dxfId="1">
      <formula>"CLEAR"</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2"/>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4" customWidth="1" min="3" max="3"/>
    <col width="18" customWidth="1" min="4" max="4"/>
    <col width="15" customWidth="1" min="5" max="5"/>
    <col width="46" customWidth="1" min="6" max="6"/>
    <col width="26" customWidth="1" min="7" max="7"/>
    <col width="20" customWidth="1" min="8" max="8"/>
    <col width="26" customWidth="1" min="9" max="9"/>
  </cols>
  <sheetData>
    <row r="1" ht="30" customHeight="1">
      <c r="A1" s="22" t="inlineStr">
        <is>
          <t>Status</t>
        </is>
      </c>
      <c r="B1" s="22" t="inlineStr">
        <is>
          <t>Priority</t>
        </is>
      </c>
      <c r="C1" s="22" t="inlineStr">
        <is>
          <t>Test Side</t>
        </is>
      </c>
      <c r="D1" s="22" t="inlineStr">
        <is>
          <t>Severity</t>
        </is>
      </c>
      <c r="E1" s="22" t="inlineStr">
        <is>
          <t>Defect Status</t>
        </is>
      </c>
      <c r="F1" s="22" t="inlineStr">
        <is>
          <t>Category</t>
        </is>
      </c>
      <c r="G1" s="22" t="inlineStr">
        <is>
          <t>Test Type</t>
        </is>
      </c>
      <c r="H1" s="22" t="inlineStr">
        <is>
          <t>Requirement Status</t>
        </is>
      </c>
      <c r="I1" s="22" t="inlineStr">
        <is>
          <t>Scope</t>
        </is>
      </c>
    </row>
    <row r="2">
      <c r="A2" s="19" t="inlineStr">
        <is>
          <t>Not Run</t>
        </is>
      </c>
      <c r="B2" s="19" t="inlineStr">
        <is>
          <t>P0</t>
        </is>
      </c>
      <c r="C2" s="19" t="inlineStr">
        <is>
          <t>End User</t>
        </is>
      </c>
      <c r="D2" s="19" t="inlineStr">
        <is>
          <t>Release Blocker</t>
        </is>
      </c>
      <c r="E2" s="19" t="inlineStr">
        <is>
          <t>Open</t>
        </is>
      </c>
      <c r="F2" s="19" t="inlineStr">
        <is>
          <t>BLE and Device Connectivity</t>
        </is>
      </c>
      <c r="G2" s="19" t="inlineStr">
        <is>
          <t>Architecture / Idempotency</t>
        </is>
      </c>
      <c r="H2" s="19" t="inlineStr">
        <is>
          <t>Required</t>
        </is>
      </c>
      <c r="I2" s="19" t="inlineStr">
        <is>
          <t>In scope</t>
        </is>
      </c>
    </row>
    <row r="3">
      <c r="A3" s="19" t="inlineStr">
        <is>
          <t>Pass</t>
        </is>
      </c>
      <c r="B3" s="19" t="inlineStr">
        <is>
          <t>P1</t>
        </is>
      </c>
      <c r="C3" s="19" t="inlineStr">
        <is>
          <t>Server Side</t>
        </is>
      </c>
      <c r="D3" s="19" t="inlineStr">
        <is>
          <t>Critical</t>
        </is>
      </c>
      <c r="E3" s="19" t="inlineStr">
        <is>
          <t>In Progress</t>
        </is>
      </c>
      <c r="F3" s="19" t="inlineStr">
        <is>
          <t>Backend, Retry, and AI Processing</t>
        </is>
      </c>
      <c r="G3" s="19" t="inlineStr">
        <is>
          <t>Backward Compatibility</t>
        </is>
      </c>
      <c r="H3" s="19" t="inlineStr">
        <is>
          <t>Needs confirmation</t>
        </is>
      </c>
      <c r="I3" s="19" t="inlineStr">
        <is>
          <t>In scope (reduced)</t>
        </is>
      </c>
    </row>
    <row r="4">
      <c r="A4" s="19" t="inlineStr">
        <is>
          <t>Fail</t>
        </is>
      </c>
      <c r="B4" s="19" t="inlineStr">
        <is>
          <t>P2</t>
        </is>
      </c>
      <c r="C4" s="19" t="inlineStr">
        <is>
          <t>Both</t>
        </is>
      </c>
      <c r="D4" s="19" t="inlineStr">
        <is>
          <t>Major</t>
        </is>
      </c>
      <c r="E4" s="19" t="inlineStr">
        <is>
          <t>Fixed</t>
        </is>
      </c>
      <c r="F4" s="19" t="inlineStr">
        <is>
          <t>Compatibility and Deployment</t>
        </is>
      </c>
      <c r="G4" s="19" t="inlineStr">
        <is>
          <t>Boundary / Functional</t>
        </is>
      </c>
      <c r="H4" s="19" t="inlineStr">
        <is>
          <t>Partially defined</t>
        </is>
      </c>
      <c r="I4" s="19" t="inlineStr">
        <is>
          <t>Deferred - mobile app</t>
        </is>
      </c>
    </row>
    <row r="5">
      <c r="A5" s="19" t="inlineStr">
        <is>
          <t>Blocked</t>
        </is>
      </c>
      <c r="D5" s="19" t="inlineStr">
        <is>
          <t>Minor</t>
        </is>
      </c>
      <c r="E5" s="19" t="inlineStr">
        <is>
          <t>Verified</t>
        </is>
      </c>
      <c r="F5" s="19" t="inlineStr">
        <is>
          <t>End-to-End Recording and Sync</t>
        </is>
      </c>
      <c r="G5" s="19" t="inlineStr">
        <is>
          <t>Boundary / Performance</t>
        </is>
      </c>
      <c r="I5" s="19" t="inlineStr">
        <is>
          <t>Deferred - pendant / BLE</t>
        </is>
      </c>
    </row>
    <row r="6">
      <c r="A6" s="19" t="inlineStr">
        <is>
          <t>Skipped</t>
        </is>
      </c>
      <c r="D6" s="19" t="inlineStr">
        <is>
          <t>Cosmetic</t>
        </is>
      </c>
      <c r="E6" s="19" t="inlineStr">
        <is>
          <t>Reopened</t>
        </is>
      </c>
      <c r="F6" s="19" t="inlineStr">
        <is>
          <t>Long Session and Performance</t>
        </is>
      </c>
      <c r="G6" s="19" t="inlineStr">
        <is>
          <t>Compatibility</t>
        </is>
      </c>
    </row>
    <row r="7">
      <c r="E7" s="19" t="inlineStr">
        <is>
          <t>Won't Fix</t>
        </is>
      </c>
      <c r="F7" s="19" t="inlineStr">
        <is>
          <t>Mobile App Lifecycle and Authentication</t>
        </is>
      </c>
      <c r="G7" s="19" t="inlineStr">
        <is>
          <t>Compatibility / Data Integrity</t>
        </is>
      </c>
    </row>
    <row r="8">
      <c r="F8" s="19" t="inlineStr">
        <is>
          <t>Network, Offline, and Upload Recovery</t>
        </is>
      </c>
      <c r="G8" s="19" t="inlineStr">
        <is>
          <t>Compatibility / Layout</t>
        </is>
      </c>
    </row>
    <row r="9">
      <c r="F9" s="19" t="inlineStr">
        <is>
          <t>PDF Export</t>
        </is>
      </c>
      <c r="G9" s="19" t="inlineStr">
        <is>
          <t>Compatibility / Performance</t>
        </is>
      </c>
    </row>
    <row r="10">
      <c r="F10" s="19" t="inlineStr">
        <is>
          <t>Queue, Batch, and Concurrency</t>
        </is>
      </c>
      <c r="G10" s="19" t="inlineStr">
        <is>
          <t>Compatibility / Reliability</t>
        </is>
      </c>
    </row>
    <row r="11">
      <c r="F11" s="19" t="inlineStr">
        <is>
          <t>Recorder Interruption and Local Persistence</t>
        </is>
      </c>
      <c r="G11" s="19" t="inlineStr">
        <is>
          <t>Concurrency / Functional</t>
        </is>
      </c>
    </row>
    <row r="12">
      <c r="F12" s="19" t="inlineStr">
        <is>
          <t>Security, Privacy, and Data Isolation</t>
        </is>
      </c>
      <c r="G12" s="19" t="inlineStr">
        <is>
          <t>Concurrency / Idempotency</t>
        </is>
      </c>
    </row>
    <row r="13">
      <c r="F13" s="19" t="inlineStr">
        <is>
          <t>Web Transcript Review</t>
        </is>
      </c>
      <c r="G13" s="19" t="inlineStr">
        <is>
          <t>Concurrency / Recovery</t>
        </is>
      </c>
    </row>
    <row r="14">
      <c r="G14" s="19" t="inlineStr">
        <is>
          <t>Concurrency / State Machine</t>
        </is>
      </c>
    </row>
    <row r="15">
      <c r="G15" s="19" t="inlineStr">
        <is>
          <t>Consistency / Recovery</t>
        </is>
      </c>
    </row>
    <row r="16">
      <c r="G16" s="19" t="inlineStr">
        <is>
          <t>Data Integrity</t>
        </is>
      </c>
    </row>
    <row r="17">
      <c r="G17" s="19" t="inlineStr">
        <is>
          <t>Data Integrity / Cache</t>
        </is>
      </c>
    </row>
    <row r="18">
      <c r="G18" s="19" t="inlineStr">
        <is>
          <t>Data Integrity / Functional</t>
        </is>
      </c>
    </row>
    <row r="19">
      <c r="G19" s="19" t="inlineStr">
        <is>
          <t>Functional</t>
        </is>
      </c>
    </row>
    <row r="20">
      <c r="G20" s="19" t="inlineStr">
        <is>
          <t>Functional / Batch</t>
        </is>
      </c>
    </row>
    <row r="21">
      <c r="G21" s="19" t="inlineStr">
        <is>
          <t>Functional / Compatibility</t>
        </is>
      </c>
    </row>
    <row r="22">
      <c r="G22" s="19" t="inlineStr">
        <is>
          <t>Functional / Data Integrity</t>
        </is>
      </c>
    </row>
    <row r="23">
      <c r="G23" s="19" t="inlineStr">
        <is>
          <t>Functional / End-to-End</t>
        </is>
      </c>
    </row>
    <row r="24">
      <c r="G24" s="19" t="inlineStr">
        <is>
          <t>Functional / Security</t>
        </is>
      </c>
    </row>
    <row r="25">
      <c r="G25" s="19" t="inlineStr">
        <is>
          <t>Idempotency / Integration</t>
        </is>
      </c>
    </row>
    <row r="26">
      <c r="G26" s="19" t="inlineStr">
        <is>
          <t>Integration / Functional</t>
        </is>
      </c>
    </row>
    <row r="27">
      <c r="G27" s="19" t="inlineStr">
        <is>
          <t>Mobile Lifecycle</t>
        </is>
      </c>
    </row>
    <row r="28">
      <c r="G28" s="19" t="inlineStr">
        <is>
          <t>Mobile Lifecycle / Performance</t>
        </is>
      </c>
    </row>
    <row r="29">
      <c r="G29" s="19" t="inlineStr">
        <is>
          <t>Negative / Boundary</t>
        </is>
      </c>
    </row>
    <row r="30">
      <c r="G30" s="19" t="inlineStr">
        <is>
          <t>Negative / Compatibility</t>
        </is>
      </c>
    </row>
    <row r="31">
      <c r="G31" s="19" t="inlineStr">
        <is>
          <t>Negative / Functional</t>
        </is>
      </c>
    </row>
    <row r="32">
      <c r="G32" s="19" t="inlineStr">
        <is>
          <t>Negative / Permissions</t>
        </is>
      </c>
    </row>
    <row r="33">
      <c r="G33" s="19" t="inlineStr">
        <is>
          <t>Negative / Recovery</t>
        </is>
      </c>
    </row>
    <row r="34">
      <c r="G34" s="19" t="inlineStr">
        <is>
          <t>Negative / Retry Policy</t>
        </is>
      </c>
    </row>
    <row r="35">
      <c r="G35" s="19" t="inlineStr">
        <is>
          <t>Negative / State Handling</t>
        </is>
      </c>
    </row>
    <row r="36">
      <c r="G36" s="19" t="inlineStr">
        <is>
          <t>Negative / Usability</t>
        </is>
      </c>
    </row>
    <row r="37">
      <c r="G37" s="19" t="inlineStr">
        <is>
          <t>Offline / Batch</t>
        </is>
      </c>
    </row>
    <row r="38">
      <c r="G38" s="19" t="inlineStr">
        <is>
          <t>Offline / Functional</t>
        </is>
      </c>
    </row>
    <row r="39">
      <c r="G39" s="19" t="inlineStr">
        <is>
          <t>Offline / Recovery</t>
        </is>
      </c>
    </row>
    <row r="40">
      <c r="G40" s="19" t="inlineStr">
        <is>
          <t>Performance / Compatibility</t>
        </is>
      </c>
    </row>
    <row r="41">
      <c r="G41" s="19" t="inlineStr">
        <is>
          <t>Performance / End-to-End</t>
        </is>
      </c>
    </row>
    <row r="42">
      <c r="G42" s="19" t="inlineStr">
        <is>
          <t>Performance / Layout</t>
        </is>
      </c>
    </row>
    <row r="43">
      <c r="G43" s="19" t="inlineStr">
        <is>
          <t>Performance / Reliability</t>
        </is>
      </c>
    </row>
    <row r="44">
      <c r="G44" s="19" t="inlineStr">
        <is>
          <t>Recovery</t>
        </is>
      </c>
    </row>
    <row r="45">
      <c r="G45" s="19" t="inlineStr">
        <is>
          <t>Recovery / Batch</t>
        </is>
      </c>
    </row>
    <row r="46">
      <c r="G46" s="19" t="inlineStr">
        <is>
          <t>Recovery / Boundary</t>
        </is>
      </c>
    </row>
    <row r="47">
      <c r="G47" s="19" t="inlineStr">
        <is>
          <t>Recovery / Compatibility</t>
        </is>
      </c>
    </row>
    <row r="48">
      <c r="G48" s="19" t="inlineStr">
        <is>
          <t>Recovery / Data Integrity</t>
        </is>
      </c>
    </row>
    <row r="49">
      <c r="G49" s="19" t="inlineStr">
        <is>
          <t>Recovery / Fault Injection</t>
        </is>
      </c>
    </row>
    <row r="50">
      <c r="G50" s="19" t="inlineStr">
        <is>
          <t>Recovery / Functional</t>
        </is>
      </c>
    </row>
    <row r="51">
      <c r="G51" s="19" t="inlineStr">
        <is>
          <t>Recovery / Hardware</t>
        </is>
      </c>
    </row>
    <row r="52">
      <c r="G52" s="19" t="inlineStr">
        <is>
          <t>Recovery / Mobile Lifecycle</t>
        </is>
      </c>
    </row>
    <row r="53">
      <c r="G53" s="19" t="inlineStr">
        <is>
          <t>Recovery / Performance</t>
        </is>
      </c>
    </row>
    <row r="54">
      <c r="G54" s="19" t="inlineStr">
        <is>
          <t>Reliability / Fault Isolation</t>
        </is>
      </c>
    </row>
    <row r="55">
      <c r="G55" s="19" t="inlineStr">
        <is>
          <t>Reliability / Idempotency</t>
        </is>
      </c>
    </row>
    <row r="56">
      <c r="G56" s="19" t="inlineStr">
        <is>
          <t>Reliability / Navigation</t>
        </is>
      </c>
    </row>
    <row r="57">
      <c r="G57" s="19" t="inlineStr">
        <is>
          <t>Retry / Integration</t>
        </is>
      </c>
    </row>
    <row r="58">
      <c r="G58" s="19" t="inlineStr">
        <is>
          <t>Retry / Negative</t>
        </is>
      </c>
    </row>
    <row r="59">
      <c r="G59" s="19" t="inlineStr">
        <is>
          <t>Robustness / Functional</t>
        </is>
      </c>
    </row>
    <row r="60">
      <c r="G60" s="19" t="inlineStr">
        <is>
          <t>Schema Validation / Negative</t>
        </is>
      </c>
    </row>
    <row r="61">
      <c r="G61" s="19" t="inlineStr">
        <is>
          <t>Schema Validation / Partial Result</t>
        </is>
      </c>
    </row>
    <row r="62">
      <c r="G62" s="19" t="inlineStr">
        <is>
          <t>Security</t>
        </is>
      </c>
    </row>
    <row r="63">
      <c r="G63" s="19" t="inlineStr">
        <is>
          <t>Security / Authorization</t>
        </is>
      </c>
    </row>
    <row r="64">
      <c r="G64" s="19" t="inlineStr">
        <is>
          <t>Security / Data Isolation</t>
        </is>
      </c>
    </row>
    <row r="65">
      <c r="G65" s="19" t="inlineStr">
        <is>
          <t>Security / Functional</t>
        </is>
      </c>
    </row>
    <row r="66">
      <c r="G66" s="19" t="inlineStr">
        <is>
          <t>Security / Privacy / Data Lifecycle</t>
        </is>
      </c>
    </row>
    <row r="67">
      <c r="G67" s="19" t="inlineStr">
        <is>
          <t>Security / Product Rule</t>
        </is>
      </c>
    </row>
    <row r="68">
      <c r="G68" s="19" t="inlineStr">
        <is>
          <t>Security / Recovery</t>
        </is>
      </c>
    </row>
    <row r="69">
      <c r="G69" s="19" t="inlineStr">
        <is>
          <t>Service Outage / Recovery</t>
        </is>
      </c>
    </row>
    <row r="70">
      <c r="G70" s="19" t="inlineStr">
        <is>
          <t>State Handling / Usability</t>
        </is>
      </c>
    </row>
    <row r="71">
      <c r="G71" s="19" t="inlineStr">
        <is>
          <t>Stress / Reliability</t>
        </is>
      </c>
    </row>
    <row r="72">
      <c r="G72" s="19" t="inlineStr">
        <is>
          <t>Timeout / Retry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89"/>
  <sheetViews>
    <sheetView workbookViewId="0">
      <pane xSplit="8" ySplit="1" topLeftCell="I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22" customWidth="1" min="2" max="2"/>
    <col width="52" customWidth="1" min="3" max="3"/>
    <col width="13" customWidth="1" min="4" max="4"/>
    <col width="16" customWidth="1" min="5" max="5"/>
    <col width="46" customWidth="1" min="6" max="6"/>
    <col width="30" customWidth="1" min="7" max="7"/>
    <col width="44" customWidth="1" min="8" max="8"/>
    <col width="9" customWidth="1" min="9" max="9"/>
    <col width="20" customWidth="1" min="10" max="10"/>
    <col width="20" customWidth="1" min="11" max="11"/>
    <col width="10" customWidth="1" min="12" max="12"/>
    <col width="22" customWidth="1" min="13" max="13"/>
    <col width="34" customWidth="1" min="14" max="14"/>
    <col width="42" customWidth="1" min="15" max="15"/>
    <col width="42" customWidth="1" min="16" max="16"/>
    <col width="34" customWidth="1" min="17" max="17"/>
    <col width="46" customWidth="1" min="18" max="18"/>
    <col width="46" customWidth="1" min="19" max="19"/>
    <col width="46" customWidth="1" min="20" max="20"/>
    <col width="58" customWidth="1" min="21" max="21"/>
    <col width="42" customWidth="1" min="22" max="22"/>
    <col width="42" customWidth="1" min="23" max="23"/>
    <col width="12" customWidth="1" min="24" max="24"/>
    <col width="34" customWidth="1" min="25" max="25"/>
    <col width="9" customWidth="1" min="26" max="26"/>
    <col width="14" customWidth="1" min="27" max="27"/>
    <col width="34" customWidth="1" min="28" max="28"/>
    <col width="14" customWidth="1" min="29" max="29"/>
    <col width="13" customWidth="1" min="30" max="30"/>
  </cols>
  <sheetData>
    <row r="1" ht="30" customHeight="1">
      <c r="A1" s="22" t="inlineStr">
        <is>
          <t>TC ID</t>
        </is>
      </c>
      <c r="B1" s="22" t="inlineStr">
        <is>
          <t>Scope</t>
        </is>
      </c>
      <c r="C1" s="22" t="inlineStr">
        <is>
          <t>Scope Note</t>
        </is>
      </c>
      <c r="D1" s="22" t="inlineStr">
        <is>
          <t>Test Side</t>
        </is>
      </c>
      <c r="E1" s="22" t="inlineStr">
        <is>
          <t>Run By</t>
        </is>
      </c>
      <c r="F1" s="22" t="inlineStr">
        <is>
          <t>Access Needed</t>
        </is>
      </c>
      <c r="G1" s="22" t="inlineStr">
        <is>
          <t>Category</t>
        </is>
      </c>
      <c r="H1" s="22" t="inlineStr">
        <is>
          <t>Test Case Title</t>
        </is>
      </c>
      <c r="I1" s="22" t="inlineStr">
        <is>
          <t>Priority</t>
        </is>
      </c>
      <c r="J1" s="22" t="inlineStr">
        <is>
          <t>Test Type</t>
        </is>
      </c>
      <c r="K1" s="22" t="inlineStr">
        <is>
          <t>Requirement IDs</t>
        </is>
      </c>
      <c r="L1" s="22" t="inlineStr">
        <is>
          <t>Req Count</t>
        </is>
      </c>
      <c r="M1" s="22" t="inlineStr">
        <is>
          <t>Blocked By</t>
        </is>
      </c>
      <c r="N1" s="22" t="inlineStr">
        <is>
          <t>Components</t>
        </is>
      </c>
      <c r="O1" s="22" t="inlineStr">
        <is>
          <t>Objective</t>
        </is>
      </c>
      <c r="P1" s="22" t="inlineStr">
        <is>
          <t>Preconditions</t>
        </is>
      </c>
      <c r="Q1" s="22" t="inlineStr">
        <is>
          <t>Test Data / Environment</t>
        </is>
      </c>
      <c r="R1" s="22" t="inlineStr">
        <is>
          <t>Test Steps</t>
        </is>
      </c>
      <c r="S1" s="22" t="inlineStr">
        <is>
          <t>Expected Device / App / Web Result</t>
        </is>
      </c>
      <c r="T1" s="22" t="inlineStr">
        <is>
          <t>Expected Backend / Data Result</t>
        </is>
      </c>
      <c r="U1" s="22" t="inlineStr">
        <is>
          <t>Server-Side Check</t>
        </is>
      </c>
      <c r="V1" s="22" t="inlineStr">
        <is>
          <t>Data Integrity / Validation</t>
        </is>
      </c>
      <c r="W1" s="22" t="inlineStr">
        <is>
          <t>Pass Criteria</t>
        </is>
      </c>
      <c r="X1" s="22" t="inlineStr">
        <is>
          <t>Status</t>
        </is>
      </c>
      <c r="Y1" s="22" t="inlineStr">
        <is>
          <t>Actual Result</t>
        </is>
      </c>
      <c r="Z1" s="22" t="inlineStr">
        <is>
          <t>Defects</t>
        </is>
      </c>
      <c r="AA1" s="22" t="inlineStr">
        <is>
          <t>Defect ID</t>
        </is>
      </c>
      <c r="AB1" s="22" t="inlineStr">
        <is>
          <t>Evidence / Notes</t>
        </is>
      </c>
      <c r="AC1" s="22" t="inlineStr">
        <is>
          <t>Executed By</t>
        </is>
      </c>
      <c r="AD1" s="22" t="inlineStr">
        <is>
          <t>Executed On</t>
        </is>
      </c>
    </row>
    <row r="2" ht="58" customHeight="1">
      <c r="A2" s="23" t="inlineStr">
        <is>
          <t>SATE-E2E-001</t>
        </is>
      </c>
      <c r="B2" s="24" t="inlineStr">
        <is>
          <t>In scope</t>
        </is>
      </c>
      <c r="C2" s="25" t="inlineStr"/>
      <c r="D2" s="9" t="inlineStr">
        <is>
          <t>Both</t>
        </is>
      </c>
      <c r="E2" s="24" t="inlineStr">
        <is>
          <t>Tester + Engineer</t>
        </is>
      </c>
      <c r="F2" s="25" t="inlineStr">
        <is>
          <t>Recorder · phone · browser + Supabase read access</t>
        </is>
      </c>
      <c r="G2" s="24" t="inlineStr">
        <is>
          <t>End-to-End Recording and Sync</t>
        </is>
      </c>
      <c r="H2" s="25" t="inlineStr">
        <is>
          <t>Standard online recording, upload, processing, review, and PDF export</t>
        </is>
      </c>
      <c r="I2" s="24" t="inlineStr">
        <is>
          <t>P0</t>
        </is>
      </c>
      <c r="J2" s="24" t="inlineStr">
        <is>
          <t>Functional / End-to-End</t>
        </is>
      </c>
      <c r="K2" s="25" t="inlineStr">
        <is>
          <t>RQ-01, RQ-02, RQ-03, RQ-04, RQ-16, RQ-20</t>
        </is>
      </c>
      <c r="L2" s="9" t="n">
        <v>6</v>
      </c>
      <c r="M2" s="25" t="inlineStr">
        <is>
          <t>RQ-20</t>
        </is>
      </c>
      <c r="N2" s="25" t="inlineStr">
        <is>
          <t>SATE Recorder; Wi-Fi; Supabase; Edge Functions; Cloudflare; AI service; Web App; PDF service</t>
        </is>
      </c>
      <c r="O2" s="25" t="inlineStr">
        <is>
          <t>Verify the complete production workflow for a normal session.</t>
        </is>
      </c>
      <c r="P2" s="25" t="inlineStr">
        <is>
          <t>Test user is active; recorder is assigned to the user; stable Internet is available; backend services are healthy; no existing test session uses the planned test label.</t>
        </is>
      </c>
      <c r="Q2" s="25" t="inlineStr">
        <is>
          <t>5-minute normal speech recording; stable Wi-Fi; supported browser.</t>
        </is>
      </c>
      <c r="R2" s="25" t="inlineStr">
        <is>
          <t>1. Start a new recording.
2. Speak the unique session label at the beginning and end.
3. Stop and save the recording.
4. Wait for upload and processing to complete.
5. Open the session in the Web App.
6. Review transcript and annotations.
7. Export the SATE report as PDF.</t>
        </is>
      </c>
      <c r="S2" s="25" t="inlineStr">
        <is>
          <t>Recorder shows clear Recording, Saved, Uploading, Processing, and Completed states. The Web App shows the correct session, audio, transcript, annotations, and report controls. PDF opens successfully.</t>
        </is>
      </c>
      <c r="T2" s="25" t="inlineStr">
        <is>
          <t>Exactly one session record and one valid audio object are created. Status transitions are valid and terminal state is Completed. AI result is attached to the same session. No duplicate processing job is created.</t>
        </is>
      </c>
      <c r="U2" s="25" t="inlineStr">
        <is>
          <t>Watch one row move through the state machine and stop: select id, status, attempts, processed, recording_id, bytes, storage_path, process_error from sate_device_sessions where device_serial = '&lt;serial&gt;' order by created_at desc limit 5; Status must go queued → processing → done and settle. recording_id must be non-null and resolve to exactly one recordings row. Confirm the storage object really exists — a row alone is not proof (the 413 bug once left ghost rows with no object). Then confirm the audio the recorder freed matches: GET /api/sessions/verify?... must answer stored:true for that session number and byte count. sate pipeline shows this live.</t>
        </is>
      </c>
      <c r="V2" s="25" t="inlineStr">
        <is>
          <t>Confirm session ID, user ID, device ID, timestamps, duration, audio beginning/end markers, transcript-session match, valid annotation JSON, and PDF-session match.</t>
        </is>
      </c>
      <c r="W2" s="25" t="inlineStr">
        <is>
          <t>All steps complete without manual recovery; no data loss, duplication, mis-association, or unhandled error occurs.</t>
        </is>
      </c>
      <c r="X2" s="24" t="inlineStr">
        <is>
          <t>Not Run</t>
        </is>
      </c>
      <c r="Y2" s="24" t="inlineStr"/>
      <c r="Z2" s="9">
        <f>COUNTIF('Defect Log'!$C$2:$C$500,$A2)</f>
        <v/>
      </c>
      <c r="AA2" s="24" t="inlineStr"/>
      <c r="AB2" s="24" t="inlineStr"/>
      <c r="AC2" s="24" t="inlineStr"/>
      <c r="AD2" s="24" t="inlineStr"/>
    </row>
    <row r="3" ht="58" customHeight="1">
      <c r="A3" s="23" t="inlineStr">
        <is>
          <t>SATE-E2E-002</t>
        </is>
      </c>
      <c r="B3" s="24" t="inlineStr">
        <is>
          <t>In scope</t>
        </is>
      </c>
      <c r="C3" s="25" t="inlineStr"/>
      <c r="D3" s="9" t="inlineStr">
        <is>
          <t>Both</t>
        </is>
      </c>
      <c r="E3" s="24" t="inlineStr">
        <is>
          <t>Tester + Engineer</t>
        </is>
      </c>
      <c r="F3" s="25" t="inlineStr">
        <is>
          <t>Recorder · phone · browser + Supabase read access</t>
        </is>
      </c>
      <c r="G3" s="24" t="inlineStr">
        <is>
          <t>End-to-End Recording and Sync</t>
        </is>
      </c>
      <c r="H3" s="25" t="inlineStr">
        <is>
          <t>Very short recording near the minimum supported duration</t>
        </is>
      </c>
      <c r="I3" s="24" t="inlineStr">
        <is>
          <t>P1</t>
        </is>
      </c>
      <c r="J3" s="24" t="inlineStr">
        <is>
          <t>Boundary / Functional</t>
        </is>
      </c>
      <c r="K3" s="25" t="inlineStr">
        <is>
          <t>RQ-01, RQ-07, RQ-14</t>
        </is>
      </c>
      <c r="L3" s="9" t="n">
        <v>3</v>
      </c>
      <c r="M3" s="25" t="inlineStr">
        <is>
          <t>RQ-07</t>
        </is>
      </c>
      <c r="N3" s="25" t="inlineStr">
        <is>
          <t>SATE Recorder; Supabase; AI service; Web App</t>
        </is>
      </c>
      <c r="O3" s="25" t="inlineStr">
        <is>
          <t>Verify expected handling of a valid recording near the minimum duration.</t>
        </is>
      </c>
      <c r="P3" s="25" t="inlineStr">
        <is>
          <t>Minimum supported duration is documented or a provisional threshold is agreed for testing.</t>
        </is>
      </c>
      <c r="Q3" s="25" t="inlineStr">
        <is>
          <t>10-15 second recording containing one clearly spoken sentence.</t>
        </is>
      </c>
      <c r="R3" s="25" t="inlineStr">
        <is>
          <t>1. Start recording.
2. Record for the minimum supported duration.
3. Stop and sync.
4. Open the result in the Web App.
5. Attempt PDF export if the session completes.</t>
        </is>
      </c>
      <c r="S3" s="25" t="inlineStr">
        <is>
          <t>The recorder either accepts the session or shows a documented minimum-duration message. The Web App does not display an unexplained blank result.</t>
        </is>
      </c>
      <c r="T3" s="25" t="inlineStr">
        <is>
          <t>If accepted, one complete session is processed. If rejected, no orphan audio, session, or processing job remains.</t>
        </is>
      </c>
      <c r="U3" s="25" t="inlineStr">
        <is>
          <t>A take under MIN_AUDIO_SEC (env, default **0.4 s**) never reaches the AI at all — the container finalizes it no_text up front, because the AI service answers HTTP 500 on a near-empty WAV and a 5xx reads as transient, which used to retry-loop into a stuck error (hit real on session 35). So a 10–15 s take is well above that floor and must transcribe normally. There is no other minimum enforced server-side — RQ-07 is still unsettled, so record what actually happens rather than asserting a threshold.</t>
        </is>
      </c>
      <c r="V3" s="25" t="inlineStr">
        <is>
          <t>Check actual duration, session status, transcript presence, and absence of orphan records.</t>
        </is>
      </c>
      <c r="W3" s="25" t="inlineStr">
        <is>
          <t>Behavior matches the documented minimum-duration requirement and leaves the system in a consistent state.</t>
        </is>
      </c>
      <c r="X3" s="24" t="inlineStr">
        <is>
          <t>Not Run</t>
        </is>
      </c>
      <c r="Y3" s="24" t="inlineStr"/>
      <c r="Z3" s="9">
        <f>COUNTIF('Defect Log'!$C$2:$C$500,$A3)</f>
        <v/>
      </c>
      <c r="AA3" s="24" t="inlineStr"/>
      <c r="AB3" s="24" t="inlineStr"/>
      <c r="AC3" s="24" t="inlineStr"/>
      <c r="AD3" s="24" t="inlineStr"/>
    </row>
    <row r="4" ht="58" customHeight="1">
      <c r="A4" s="23" t="inlineStr">
        <is>
          <t>SATE-E2E-003</t>
        </is>
      </c>
      <c r="B4" s="24" t="inlineStr">
        <is>
          <t>In scope</t>
        </is>
      </c>
      <c r="C4" s="25" t="inlineStr"/>
      <c r="D4" s="9" t="inlineStr">
        <is>
          <t>Both</t>
        </is>
      </c>
      <c r="E4" s="24" t="inlineStr">
        <is>
          <t>Tester + Engineer</t>
        </is>
      </c>
      <c r="F4" s="25" t="inlineStr">
        <is>
          <t>Recorder · phone · browser + Supabase read access</t>
        </is>
      </c>
      <c r="G4" s="24" t="inlineStr">
        <is>
          <t>End-to-End Recording and Sync</t>
        </is>
      </c>
      <c r="H4" s="25" t="inlineStr">
        <is>
          <t>Silent or near-silent recording</t>
        </is>
      </c>
      <c r="I4" s="24" t="inlineStr">
        <is>
          <t>P1</t>
        </is>
      </c>
      <c r="J4" s="24" t="inlineStr">
        <is>
          <t>Negative / Functional</t>
        </is>
      </c>
      <c r="K4" s="25" t="inlineStr">
        <is>
          <t>RQ-14, RQ-20</t>
        </is>
      </c>
      <c r="L4" s="9" t="n">
        <v>2</v>
      </c>
      <c r="M4" s="25" t="inlineStr">
        <is>
          <t>RQ-20</t>
        </is>
      </c>
      <c r="N4" s="25" t="inlineStr">
        <is>
          <t>SATE Recorder; AI service; Web App</t>
        </is>
      </c>
      <c r="O4" s="25" t="inlineStr">
        <is>
          <t>Verify that absence of speech is distinguished from pipeline failure.</t>
        </is>
      </c>
      <c r="P4" s="25" t="inlineStr">
        <is>
          <t>Backend services are healthy.</t>
        </is>
      </c>
      <c r="Q4" s="25" t="inlineStr">
        <is>
          <t>2-minute recording with room tone and no intentional speech.</t>
        </is>
      </c>
      <c r="R4" s="25" t="inlineStr">
        <is>
          <t>1. Record two minutes of silence or near-silence.
2. Stop and sync.
3. Wait for processing.
4. Open the session in the Web App.
5. Review status, transcript, and annotations.</t>
        </is>
      </c>
      <c r="S4" s="25" t="inlineStr">
        <is>
          <t>The session displays a clear outcome such as No Detectable Speech, Low Confidence, or an empty transcript with explanation. It must not remain indefinitely in Processing.</t>
        </is>
      </c>
      <c r="T4" s="25" t="inlineStr">
        <is>
          <t>AI response is stored as a valid result or a defined non-speech outcome. Processing status reaches a defined terminal state.</t>
        </is>
      </c>
      <c r="U4" s="25" t="inlineStr">
        <is>
          <t>Silence is a *result*, not a failure. cf-processor calls finalize({no_text:true}), the edge marks the session done, and **no recordings row is created**. Verify select status, no_text, recording_id from sate_device_sessions where id='&lt;id&gt;' gives done / true / null. A session sitting in processing here is the real bug — check the container logs before blaming the AI.</t>
        </is>
      </c>
      <c r="V4" s="25" t="inlineStr">
        <is>
          <t>Verify audio is playable and complete; transcript is not copied from another session; result JSON is valid.</t>
        </is>
      </c>
      <c r="W4" s="25" t="inlineStr">
        <is>
          <t>The system distinguishes valid silent audio from upload/processing failure and provides an actionable status.</t>
        </is>
      </c>
      <c r="X4" s="24" t="inlineStr">
        <is>
          <t>Not Run</t>
        </is>
      </c>
      <c r="Y4" s="24" t="inlineStr"/>
      <c r="Z4" s="9">
        <f>COUNTIF('Defect Log'!$C$2:$C$500,$A4)</f>
        <v/>
      </c>
      <c r="AA4" s="24" t="inlineStr"/>
      <c r="AB4" s="24" t="inlineStr"/>
      <c r="AC4" s="24" t="inlineStr"/>
      <c r="AD4" s="24" t="inlineStr"/>
    </row>
    <row r="5" ht="58" customHeight="1">
      <c r="A5" s="23" t="inlineStr">
        <is>
          <t>SATE-E2E-004</t>
        </is>
      </c>
      <c r="B5" s="24" t="inlineStr">
        <is>
          <t>In scope</t>
        </is>
      </c>
      <c r="C5" s="25" t="inlineStr"/>
      <c r="D5" s="9" t="inlineStr">
        <is>
          <t>Both</t>
        </is>
      </c>
      <c r="E5" s="24" t="inlineStr">
        <is>
          <t>Tester + Engineer</t>
        </is>
      </c>
      <c r="F5" s="25" t="inlineStr">
        <is>
          <t>Recorder · phone · browser + Supabase read access</t>
        </is>
      </c>
      <c r="G5" s="24" t="inlineStr">
        <is>
          <t>End-to-End Recording and Sync</t>
        </is>
      </c>
      <c r="H5" s="25" t="inlineStr">
        <is>
          <t>Noisy recording with multiple speakers and interruptions</t>
        </is>
      </c>
      <c r="I5" s="24" t="inlineStr">
        <is>
          <t>P1</t>
        </is>
      </c>
      <c r="J5" s="24" t="inlineStr">
        <is>
          <t>Robustness / Functional</t>
        </is>
      </c>
      <c r="K5" s="25" t="inlineStr">
        <is>
          <t>RQ-14, RQ-20</t>
        </is>
      </c>
      <c r="L5" s="9" t="n">
        <v>2</v>
      </c>
      <c r="M5" s="25" t="inlineStr">
        <is>
          <t>RQ-20</t>
        </is>
      </c>
      <c r="N5" s="25" t="inlineStr">
        <is>
          <t>SATE Recorder; AI service; Web App</t>
        </is>
      </c>
      <c r="O5" s="25" t="inlineStr">
        <is>
          <t>Verify that difficult audio degrades recognition quality gracefully without breaking the pipeline.</t>
        </is>
      </c>
      <c r="P5" s="25" t="inlineStr">
        <is>
          <t>Normal end-to-end environment is available.</t>
        </is>
      </c>
      <c r="Q5" s="25" t="inlineStr">
        <is>
          <t>5-minute recording with background noise, two speakers, pauses, overlapping speech, and brief interruptions.</t>
        </is>
      </c>
      <c r="R5" s="25" t="inlineStr">
        <is>
          <t>1. Record the prepared noisy scenario.
2. Stop and sync.
3. Review transcript, speaker-related output if supported, annotations, warnings, and PDF.</t>
        </is>
      </c>
      <c r="S5" s="25" t="inlineStr">
        <is>
          <t>The session completes or shows a defined low-quality warning. The UI remains responsive and does not mislabel the result as an upload failure.</t>
        </is>
      </c>
      <c r="T5" s="25" t="inlineStr">
        <is>
          <t>One valid audio object and one result set are stored. Partial/low-confidence fields follow the documented schema.</t>
        </is>
      </c>
      <c r="U5" s="25" t="inlineStr">
        <is>
          <t>Nothing special server-side: one sate_device_sessions row, one recordings row. Check recordings.transcript parses as JSON and recordings.analysis has the computed metrics (ntw, ndw, mluw, mlum, errorCounts). Diarization quality is not a pass criterion — pipeline integrity is.</t>
        </is>
      </c>
      <c r="V5" s="25" t="inlineStr">
        <is>
          <t>Check that output belongs to this audio, JSON fields are parseable, and no unrelated transcript appears.</t>
        </is>
      </c>
      <c r="W5" s="25" t="inlineStr">
        <is>
          <t>The session reaches a defined terminal state with no crash, malformed data, or cross-session contamination.</t>
        </is>
      </c>
      <c r="X5" s="24" t="inlineStr">
        <is>
          <t>Not Run</t>
        </is>
      </c>
      <c r="Y5" s="24" t="inlineStr"/>
      <c r="Z5" s="9">
        <f>COUNTIF('Defect Log'!$C$2:$C$500,$A5)</f>
        <v/>
      </c>
      <c r="AA5" s="24" t="inlineStr"/>
      <c r="AB5" s="24" t="inlineStr"/>
      <c r="AC5" s="24" t="inlineStr"/>
      <c r="AD5" s="24" t="inlineStr"/>
    </row>
    <row r="6" ht="58" customHeight="1">
      <c r="A6" s="23" t="inlineStr">
        <is>
          <t>SATE-E2E-005</t>
        </is>
      </c>
      <c r="B6" s="24" t="inlineStr">
        <is>
          <t>In scope</t>
        </is>
      </c>
      <c r="C6" s="25" t="inlineStr"/>
      <c r="D6" s="9" t="inlineStr">
        <is>
          <t>Both</t>
        </is>
      </c>
      <c r="E6" s="24" t="inlineStr">
        <is>
          <t>Tester + Engineer</t>
        </is>
      </c>
      <c r="F6" s="25" t="inlineStr">
        <is>
          <t>Recorder · phone · browser + Supabase read access</t>
        </is>
      </c>
      <c r="G6" s="24" t="inlineStr">
        <is>
          <t>End-to-End Recording and Sync</t>
        </is>
      </c>
      <c r="H6" s="25" t="inlineStr">
        <is>
          <t>Session metadata, timestamp, time-zone, and device association</t>
        </is>
      </c>
      <c r="I6" s="24" t="inlineStr">
        <is>
          <t>P0</t>
        </is>
      </c>
      <c r="J6" s="24" t="inlineStr">
        <is>
          <t>Data Integrity</t>
        </is>
      </c>
      <c r="K6" s="25" t="inlineStr">
        <is>
          <t>RQ-01, RQ-02, RQ-19</t>
        </is>
      </c>
      <c r="L6" s="9" t="n">
        <v>3</v>
      </c>
      <c r="M6" s="25" t="inlineStr"/>
      <c r="N6" s="25" t="inlineStr">
        <is>
          <t>SATE Recorder; Supabase; Web App; PDF service</t>
        </is>
      </c>
      <c r="O6" s="25" t="inlineStr">
        <is>
          <t>Verify that metadata remains correct across recorder, backend, Web App, and exported report.</t>
        </is>
      </c>
      <c r="P6" s="25" t="inlineStr">
        <is>
          <t>Recorder and phone clocks are set correctly; test account and device assignment are known.</t>
        </is>
      </c>
      <c r="Q6" s="25" t="inlineStr">
        <is>
          <t>One 2-minute session created near a known clock time; record local time zone.</t>
        </is>
      </c>
      <c r="R6" s="25" t="inlineStr">
        <is>
          <t>1. Note user, recorder ID, local start time, and end time.
2. Record and sync a session.
3. Compare metadata in device UI, database, Web App, and PDF.
4. Refresh and reopen the session.</t>
        </is>
      </c>
      <c r="S6" s="25" t="inlineStr">
        <is>
          <t>User name/ID, device, date, time, duration, and session label are consistent and displayed in the intended time zone.</t>
        </is>
      </c>
      <c r="T6" s="25" t="inlineStr">
        <is>
          <t>Canonical timestamps are stored consistently; display conversion is correct; device association does not change after refresh.</t>
        </is>
      </c>
      <c r="U6" s="25" t="inlineStr">
        <is>
          <t>Canonical timestamps are stored UTC (ISO-8601). Compare sate_device_sessions.created_at, recordings.created_at, and what the web app renders; a mismatch is a display-layer bug, not a storage one. Device association is sate_devices.id → sate_device_sessions.user_id; it must not change on refresh.</t>
        </is>
      </c>
      <c r="V6" s="25" t="inlineStr">
        <is>
          <t>Compare session ID, user ID, device ID, start/end timestamps, time zone, and calculated duration across all components.</t>
        </is>
      </c>
      <c r="W6" s="25" t="inlineStr">
        <is>
          <t>No incorrect user/device association, unexplained time shift, or material duration discrepancy is present.</t>
        </is>
      </c>
      <c r="X6" s="24" t="inlineStr">
        <is>
          <t>Not Run</t>
        </is>
      </c>
      <c r="Y6" s="24" t="inlineStr"/>
      <c r="Z6" s="9">
        <f>COUNTIF('Defect Log'!$C$2:$C$500,$A6)</f>
        <v/>
      </c>
      <c r="AA6" s="24" t="inlineStr"/>
      <c r="AB6" s="24" t="inlineStr"/>
      <c r="AC6" s="24" t="inlineStr"/>
      <c r="AD6" s="24" t="inlineStr"/>
    </row>
    <row r="7" ht="58" customHeight="1">
      <c r="A7" s="23" t="inlineStr">
        <is>
          <t>SATE-E2E-006</t>
        </is>
      </c>
      <c r="B7" s="24" t="inlineStr">
        <is>
          <t>In scope (reduced)</t>
        </is>
      </c>
      <c r="C7" s="25" t="inlineStr">
        <is>
          <t>Repeat Stop / Save / Upload on the recorder only. Skip the app's Submit control.</t>
        </is>
      </c>
      <c r="D7" s="9" t="inlineStr">
        <is>
          <t>Both</t>
        </is>
      </c>
      <c r="E7" s="24" t="inlineStr">
        <is>
          <t>Tester + Engineer</t>
        </is>
      </c>
      <c r="F7" s="25" t="inlineStr">
        <is>
          <t>Recorder · phone · browser + Supabase read access</t>
        </is>
      </c>
      <c r="G7" s="24" t="inlineStr">
        <is>
          <t>End-to-End Recording and Sync</t>
        </is>
      </c>
      <c r="H7" s="25" t="inlineStr">
        <is>
          <t>Repeated Stop, Save, Upload, or Submit actions</t>
        </is>
      </c>
      <c r="I7" s="24" t="inlineStr">
        <is>
          <t>P0</t>
        </is>
      </c>
      <c r="J7" s="24" t="inlineStr">
        <is>
          <t>Reliability / Idempotency</t>
        </is>
      </c>
      <c r="K7" s="25" t="inlineStr">
        <is>
          <t>RQ-03, RQ-21</t>
        </is>
      </c>
      <c r="L7" s="9" t="n">
        <v>2</v>
      </c>
      <c r="M7" s="25" t="inlineStr">
        <is>
          <t>RQ-21</t>
        </is>
      </c>
      <c r="N7" s="25" t="inlineStr">
        <is>
          <t>SATE Recorder; Mobile App; Supabase; Edge Functions</t>
        </is>
      </c>
      <c r="O7" s="25" t="inlineStr">
        <is>
          <t>Verify that rapid repeated user actions do not create duplicate sessions or jobs.</t>
        </is>
      </c>
      <c r="P7" s="25" t="inlineStr">
        <is>
          <t>Normal recording is in progress; tester can tap controls rapidly.</t>
        </is>
      </c>
      <c r="Q7" s="25" t="inlineStr">
        <is>
          <t>2-minute recording; stable network.</t>
        </is>
      </c>
      <c r="R7" s="25" t="inlineStr">
        <is>
          <t>1. End the recording.
2. Rapidly tap Stop/Save several times.
3. If an Upload or Retry control appears, tap it repeatedly.
4. Wait for completion.
5. Inspect session list and backend records.</t>
        </is>
      </c>
      <c r="S7" s="25" t="inlineStr">
        <is>
          <t>Controls become disabled or requests are safely deduplicated. The user sees only one session.</t>
        </is>
      </c>
      <c r="T7" s="25" t="inlineStr">
        <is>
          <t>Exactly one canonical session, one final audio object, and one final result set exist. Duplicate requests use the same idempotency key or are rejected safely.</t>
        </is>
      </c>
      <c r="U7" s="25" t="inlineStr">
        <is>
          <t>This is the idempotency case. storeSessionRecord probes for an existing row by **(user, serial, patient, session_number, bytes) + objectExists** and reuses it, which is what stops a lost BLE markSynced ACK creating a second take. ⚠️ **There is still no database unique constraint behind that probe.** Under a genuine race the probe can be passed twice. If you get two rows for one recording here, that is the known gap, not a new defect — log it against RQ-03.</t>
        </is>
      </c>
      <c r="V7" s="25" t="inlineStr">
        <is>
          <t>Count session records, storage objects, processing attempts, transcripts, and reports linked to the source recording.</t>
        </is>
      </c>
      <c r="W7" s="25" t="inlineStr">
        <is>
          <t>Repeated actions never create duplicate user-visible sessions, duplicate reports, or conflicting final states.</t>
        </is>
      </c>
      <c r="X7" s="24" t="inlineStr">
        <is>
          <t>Not Run</t>
        </is>
      </c>
      <c r="Y7" s="24" t="inlineStr"/>
      <c r="Z7" s="9">
        <f>COUNTIF('Defect Log'!$C$2:$C$500,$A7)</f>
        <v/>
      </c>
      <c r="AA7" s="24" t="inlineStr"/>
      <c r="AB7" s="24" t="inlineStr"/>
      <c r="AC7" s="24" t="inlineStr"/>
      <c r="AD7" s="24" t="inlineStr"/>
    </row>
    <row r="8" ht="58" customHeight="1">
      <c r="A8" s="23" t="inlineStr">
        <is>
          <t>SATE-REC-001</t>
        </is>
      </c>
      <c r="B8" s="24" t="inlineStr">
        <is>
          <t>In scope</t>
        </is>
      </c>
      <c r="C8" s="25" t="inlineStr"/>
      <c r="D8" s="9" t="inlineStr">
        <is>
          <t>Both</t>
        </is>
      </c>
      <c r="E8" s="24" t="inlineStr">
        <is>
          <t>Tester + Engineer</t>
        </is>
      </c>
      <c r="F8" s="25" t="inlineStr">
        <is>
          <t>Recorder · phone · browser + Supabase read access · Serial console on the recorder</t>
        </is>
      </c>
      <c r="G8" s="24" t="inlineStr">
        <is>
          <t>Recorder Interruption and Local Persistence</t>
        </is>
      </c>
      <c r="H8" s="25" t="inlineStr">
        <is>
          <t>Graceful recorder restart during an active recording</t>
        </is>
      </c>
      <c r="I8" s="24" t="inlineStr">
        <is>
          <t>P0</t>
        </is>
      </c>
      <c r="J8" s="24" t="inlineStr">
        <is>
          <t>Recovery</t>
        </is>
      </c>
      <c r="K8" s="25" t="inlineStr">
        <is>
          <t>RQ-06, RQ-03, RQ-04</t>
        </is>
      </c>
      <c r="L8" s="9" t="n">
        <v>3</v>
      </c>
      <c r="M8" s="25" t="inlineStr">
        <is>
          <t>RQ-06</t>
        </is>
      </c>
      <c r="N8" s="25" t="inlineStr">
        <is>
          <t>SATE Recorder; Local Storage; Supabase</t>
        </is>
      </c>
      <c r="O8" s="25" t="inlineStr">
        <is>
          <t>Verify that a normal restart during recording does not silently lose captured audio.</t>
        </is>
      </c>
      <c r="P8" s="25" t="inlineStr">
        <is>
          <t>Recorder battery and storage are sufficient; a session is actively recording.</t>
        </is>
      </c>
      <c r="Q8" s="25" t="inlineStr">
        <is>
          <t>5-minute intended recording; restart after approximately 2 minutes.</t>
        </is>
      </c>
      <c r="R8" s="25" t="inlineStr">
        <is>
          <t>1. Start recording and speak a beginning marker.
2. After two minutes, perform a normal device restart.
3. Restart the recorder.
4. Inspect recovered/pending sessions.
5. Sync any recovered partial session.</t>
        </is>
      </c>
      <c r="S8" s="25" t="inlineStr">
        <is>
          <t>The recorder clearly identifies the interrupted session. Recommended behavior: preserve the recorded portion and label it Interrupted; do not silently discard it.</t>
        </is>
      </c>
      <c r="T8" s="25" t="inlineStr">
        <is>
          <t>At most one interrupted session is created for the captured audio. Any upload uses the original session identity or a clearly linked recovery identity.</t>
        </is>
      </c>
      <c r="U8" s="25" t="inlineStr">
        <is>
          <t>Segments flush to SD roughly every 5 s, so at most ~5 s of tail is at risk. On boot maybeResumeRecording() re-enters the same session — **every** take resumes, button-started and server-started alike (fw ≥1.5.16). Serial should show [CONN] resume … session N. The session number must not change: numbers are allocated monotonically and never renumbered (fw ≥1.5.20). A hole in the numbering is legal; a *reused* number is a defect.</t>
        </is>
      </c>
      <c r="V8" s="25" t="inlineStr">
        <is>
          <t>Play the recovered audio; verify beginning marker, duration, file readability, status, and absence of duplication.</t>
        </is>
      </c>
      <c r="W8" s="25" t="inlineStr">
        <is>
          <t>Captured audio is preserved or intentionally rejected according to a documented rule, and the user receives an explicit status.</t>
        </is>
      </c>
      <c r="X8" s="24" t="inlineStr">
        <is>
          <t>Not Run</t>
        </is>
      </c>
      <c r="Y8" s="24" t="inlineStr"/>
      <c r="Z8" s="9">
        <f>COUNTIF('Defect Log'!$C$2:$C$500,$A8)</f>
        <v/>
      </c>
      <c r="AA8" s="24" t="inlineStr"/>
      <c r="AB8" s="24" t="inlineStr"/>
      <c r="AC8" s="24" t="inlineStr"/>
      <c r="AD8" s="24" t="inlineStr"/>
    </row>
    <row r="9" ht="58" customHeight="1">
      <c r="A9" s="23" t="inlineStr">
        <is>
          <t>SATE-REC-002</t>
        </is>
      </c>
      <c r="B9" s="24" t="inlineStr">
        <is>
          <t>In scope</t>
        </is>
      </c>
      <c r="C9" s="25" t="inlineStr"/>
      <c r="D9" s="9" t="inlineStr">
        <is>
          <t>Both</t>
        </is>
      </c>
      <c r="E9" s="24" t="inlineStr">
        <is>
          <t>Tester + Engineer</t>
        </is>
      </c>
      <c r="F9" s="25" t="inlineStr">
        <is>
          <t>Recorder · phone · browser + Supabase read access · Serial console on the recorder</t>
        </is>
      </c>
      <c r="G9" s="24" t="inlineStr">
        <is>
          <t>Recorder Interruption and Local Persistence</t>
        </is>
      </c>
      <c r="H9" s="25" t="inlineStr">
        <is>
          <t>Forced power loss during an active recording</t>
        </is>
      </c>
      <c r="I9" s="24" t="inlineStr">
        <is>
          <t>P0</t>
        </is>
      </c>
      <c r="J9" s="24" t="inlineStr">
        <is>
          <t>Recovery / Fault Injection</t>
        </is>
      </c>
      <c r="K9" s="25" t="inlineStr">
        <is>
          <t>RQ-04, RQ-06</t>
        </is>
      </c>
      <c r="L9" s="9" t="n">
        <v>2</v>
      </c>
      <c r="M9" s="25" t="inlineStr">
        <is>
          <t>RQ-06</t>
        </is>
      </c>
      <c r="N9" s="25" t="inlineStr">
        <is>
          <t>SATE Recorder; Local Storage</t>
        </is>
      </c>
      <c r="O9" s="25" t="inlineStr">
        <is>
          <t>Verify crash-safe local audio persistence when shutdown cannot complete cleanly.</t>
        </is>
      </c>
      <c r="P9" s="25" t="inlineStr">
        <is>
          <t>Recorder is actively recording; tester can disconnect power or force shutdown safely.</t>
        </is>
      </c>
      <c r="Q9" s="25" t="inlineStr">
        <is>
          <t>5-minute intended recording; forced shutdown after approximately 2 minutes.</t>
        </is>
      </c>
      <c r="R9" s="25" t="inlineStr">
        <is>
          <t>1. Start recording and speak a beginning marker.
2. Force power loss without using the normal stop control.
3. Restore power.
4. Inspect recovered data and device messages.
5. Sync any recoverable session.</t>
        </is>
      </c>
      <c r="S9" s="25" t="inlineStr">
        <is>
          <t>The recorder reports an interrupted or recovered session rather than showing a completed recording. It must not claim success if the audio is corrupted.</t>
        </is>
      </c>
      <c r="T9" s="25" t="inlineStr">
        <is>
          <t>Recovered audio is either stored as one valid partial session or quarantined as corrupted with a traceable error. No phantom Completed session is created.</t>
        </is>
      </c>
      <c r="U9" s="25" t="inlineStr">
        <is>
          <t>Same resume path as REC-001, and the one that matters most. Two things to check on the serial log: [MEM] ready (boot completed) and [CONN] resume … session N. The resume runs from loop(), never setup() (fw ≥1.5.17) — if the device comes back and is *unreachable* (no heartbeat, remote stop ignored), that regression is back and it is a release blocker: the take runs to the ~62-minute ceiling with nobody able to stop it.</t>
        </is>
      </c>
      <c r="V9" s="25" t="inlineStr">
        <is>
          <t>Verify file readability, duration, beginning marker, session count, error logs, and local cleanup behavior.</t>
        </is>
      </c>
      <c r="W9" s="25" t="inlineStr">
        <is>
          <t>No silent data loss, false Completed state, or duplicate session occurs.</t>
        </is>
      </c>
      <c r="X9" s="24" t="inlineStr">
        <is>
          <t>Not Run</t>
        </is>
      </c>
      <c r="Y9" s="24" t="inlineStr"/>
      <c r="Z9" s="9">
        <f>COUNTIF('Defect Log'!$C$2:$C$500,$A9)</f>
        <v/>
      </c>
      <c r="AA9" s="24" t="inlineStr"/>
      <c r="AB9" s="24" t="inlineStr"/>
      <c r="AC9" s="24" t="inlineStr"/>
      <c r="AD9" s="24" t="inlineStr"/>
    </row>
    <row r="10" ht="58" customHeight="1">
      <c r="A10" s="23" t="inlineStr">
        <is>
          <t>SATE-REC-003</t>
        </is>
      </c>
      <c r="B10" s="24" t="inlineStr">
        <is>
          <t>In scope</t>
        </is>
      </c>
      <c r="C10" s="25" t="inlineStr"/>
      <c r="D10" s="9" t="inlineStr">
        <is>
          <t>Both</t>
        </is>
      </c>
      <c r="E10" s="24" t="inlineStr">
        <is>
          <t>Tester + Engineer</t>
        </is>
      </c>
      <c r="F10" s="25" t="inlineStr">
        <is>
          <t>Recorder · phone · browser + Supabase read access · Serial console · bench power supply or drained cell</t>
        </is>
      </c>
      <c r="G10" s="24" t="inlineStr">
        <is>
          <t>Recorder Interruption and Local Persistence</t>
        </is>
      </c>
      <c r="H10" s="25" t="inlineStr">
        <is>
          <t>Low-battery shutdown during recording</t>
        </is>
      </c>
      <c r="I10" s="24" t="inlineStr">
        <is>
          <t>P0</t>
        </is>
      </c>
      <c r="J10" s="24" t="inlineStr">
        <is>
          <t>Recovery / Hardware</t>
        </is>
      </c>
      <c r="K10" s="25" t="inlineStr">
        <is>
          <t>RQ-06, RQ-20</t>
        </is>
      </c>
      <c r="L10" s="9" t="n">
        <v>2</v>
      </c>
      <c r="M10" s="25" t="inlineStr">
        <is>
          <t>RQ-06, RQ-20</t>
        </is>
      </c>
      <c r="N10" s="25" t="inlineStr">
        <is>
          <t>SATE Recorder; Battery Management; Local Storage</t>
        </is>
      </c>
      <c r="O10" s="25" t="inlineStr">
        <is>
          <t>Verify low-battery warnings and safe session preservation.</t>
        </is>
      </c>
      <c r="P10" s="25" t="inlineStr">
        <is>
          <t>Recorder battery can be reduced to the low-battery threshold.</t>
        </is>
      </c>
      <c r="Q10" s="25" t="inlineStr">
        <is>
          <t>Recording continues until low-battery warning and shutdown.</t>
        </is>
      </c>
      <c r="R10" s="25" t="inlineStr">
        <is>
          <t>1. Begin a recording with low remaining battery.
2. Continue until warning appears.
3. Observe whether recording stops automatically or the device shuts down.
4. Recharge and restart.
5. Inspect and sync the session.</t>
        </is>
      </c>
      <c r="S10" s="25" t="inlineStr">
        <is>
          <t>A warning appears early enough for action. Recommended behavior: safely stop and save before shutdown when possible.</t>
        </is>
      </c>
      <c r="T10" s="25" t="inlineStr">
        <is>
          <t>One valid partial or completed session is preserved with an accurate reason/status. No corrupted Completed session is created.</t>
        </is>
      </c>
      <c r="U10" s="25" t="inlineStr">
        <is>
          <t>Low-voltage cutoff uses the GPIO9 battery sense (analogReadMilliVolts × 2 behind the board's 0.5 divider). Confirm the partial take survived to SD and later uploads with its real byte count. Battery telemetry lands in sate_devices.battery_pct / battery_mv via the heartbeat.</t>
        </is>
      </c>
      <c r="V10" s="25" t="inlineStr">
        <is>
          <t>Check duration, file readability, battery-related event log, status, and upload result.</t>
        </is>
      </c>
      <c r="W10" s="25" t="inlineStr">
        <is>
          <t>Audio captured before shutdown is handled according to the documented low-battery rule with no false success.</t>
        </is>
      </c>
      <c r="X10" s="24" t="inlineStr">
        <is>
          <t>Not Run</t>
        </is>
      </c>
      <c r="Y10" s="24" t="inlineStr"/>
      <c r="Z10" s="9">
        <f>COUNTIF('Defect Log'!$C$2:$C$500,$A10)</f>
        <v/>
      </c>
      <c r="AA10" s="24" t="inlineStr"/>
      <c r="AB10" s="24" t="inlineStr"/>
      <c r="AC10" s="24" t="inlineStr"/>
      <c r="AD10" s="24" t="inlineStr"/>
    </row>
    <row r="11" ht="58" customHeight="1">
      <c r="A11" s="23" t="inlineStr">
        <is>
          <t>SATE-REC-004</t>
        </is>
      </c>
      <c r="B11" s="24" t="inlineStr">
        <is>
          <t>In scope</t>
        </is>
      </c>
      <c r="C11" s="25" t="inlineStr"/>
      <c r="D11" s="9" t="inlineStr">
        <is>
          <t>Both</t>
        </is>
      </c>
      <c r="E11" s="24" t="inlineStr">
        <is>
          <t>Tester + Engineer</t>
        </is>
      </c>
      <c r="F11" s="25" t="inlineStr">
        <is>
          <t>Recorder · phone · browser + Supabase read access</t>
        </is>
      </c>
      <c r="G11" s="24" t="inlineStr">
        <is>
          <t>Recorder Interruption and Local Persistence</t>
        </is>
      </c>
      <c r="H11" s="25" t="inlineStr">
        <is>
          <t>Insufficient local storage before recording starts</t>
        </is>
      </c>
      <c r="I11" s="24" t="inlineStr">
        <is>
          <t>P0</t>
        </is>
      </c>
      <c r="J11" s="24" t="inlineStr">
        <is>
          <t>Negative / Boundary</t>
        </is>
      </c>
      <c r="K11" s="25" t="inlineStr">
        <is>
          <t>RQ-04, RQ-07</t>
        </is>
      </c>
      <c r="L11" s="9" t="n">
        <v>2</v>
      </c>
      <c r="M11" s="25" t="inlineStr">
        <is>
          <t>RQ-07</t>
        </is>
      </c>
      <c r="N11" s="25" t="inlineStr">
        <is>
          <t>SATE Recorder; Local Storage</t>
        </is>
      </c>
      <c r="O11" s="25" t="inlineStr">
        <is>
          <t>Verify that the recorder prevents a session that cannot be stored safely.</t>
        </is>
      </c>
      <c r="P11" s="25" t="inlineStr">
        <is>
          <t>Local storage is below the defined minimum free-space threshold.</t>
        </is>
      </c>
      <c r="Q11" s="25" t="inlineStr">
        <is>
          <t>Recorder with intentionally reduced free storage.</t>
        </is>
      </c>
      <c r="R11" s="25" t="inlineStr">
        <is>
          <t>1. Attempt to start a recording.
2. Observe the message and controls.
3. Free sufficient storage.
4. Retry recording.</t>
        </is>
      </c>
      <c r="S11" s="25" t="inlineStr">
        <is>
          <t>The recorder blocks recording or clearly warns the user before capture begins. After space is freed, normal recording is available.</t>
        </is>
      </c>
      <c r="T11" s="25" t="inlineStr">
        <is>
          <t>No incomplete session or empty backend record is created from the blocked attempt.</t>
        </is>
      </c>
      <c r="U11" s="25" t="inlineStr">
        <is>
          <t>Nothing reaches the server. Confirm no orphan row in sate_device_sessions and no object in the device-sessions bucket. A row with storage_path set but no object is the failure signature to look for.</t>
        </is>
      </c>
      <c r="V11" s="25" t="inlineStr">
        <is>
          <t>Verify free-space check, absence of zero-byte files, absence of orphan session records, and successful retry after cleanup.</t>
        </is>
      </c>
      <c r="W11" s="25" t="inlineStr">
        <is>
          <t>The user cannot unknowingly begin a recording that the device cannot preserve.</t>
        </is>
      </c>
      <c r="X11" s="24" t="inlineStr">
        <is>
          <t>Not Run</t>
        </is>
      </c>
      <c r="Y11" s="24" t="inlineStr"/>
      <c r="Z11" s="9">
        <f>COUNTIF('Defect Log'!$C$2:$C$500,$A11)</f>
        <v/>
      </c>
      <c r="AA11" s="24" t="inlineStr"/>
      <c r="AB11" s="24" t="inlineStr"/>
      <c r="AC11" s="24" t="inlineStr"/>
      <c r="AD11" s="24" t="inlineStr"/>
    </row>
    <row r="12" ht="58" customHeight="1">
      <c r="A12" s="23" t="inlineStr">
        <is>
          <t>SATE-REC-005</t>
        </is>
      </c>
      <c r="B12" s="24" t="inlineStr">
        <is>
          <t>In scope</t>
        </is>
      </c>
      <c r="C12" s="25" t="inlineStr"/>
      <c r="D12" s="9" t="inlineStr">
        <is>
          <t>Both</t>
        </is>
      </c>
      <c r="E12" s="24" t="inlineStr">
        <is>
          <t>Tester + Engineer</t>
        </is>
      </c>
      <c r="F12" s="25" t="inlineStr">
        <is>
          <t>Recorder · phone · browser + Supabase read access · SD card able to be filled to capacity</t>
        </is>
      </c>
      <c r="G12" s="24" t="inlineStr">
        <is>
          <t>Recorder Interruption and Local Persistence</t>
        </is>
      </c>
      <c r="H12" s="25" t="inlineStr">
        <is>
          <t>Local storage becomes full during recording</t>
        </is>
      </c>
      <c r="I12" s="24" t="inlineStr">
        <is>
          <t>P0</t>
        </is>
      </c>
      <c r="J12" s="24" t="inlineStr">
        <is>
          <t>Recovery / Boundary</t>
        </is>
      </c>
      <c r="K12" s="25" t="inlineStr">
        <is>
          <t>RQ-04, RQ-06</t>
        </is>
      </c>
      <c r="L12" s="9" t="n">
        <v>2</v>
      </c>
      <c r="M12" s="25" t="inlineStr">
        <is>
          <t>RQ-06</t>
        </is>
      </c>
      <c r="N12" s="25" t="inlineStr">
        <is>
          <t>SATE Recorder; Local Storage</t>
        </is>
      </c>
      <c r="O12" s="25" t="inlineStr">
        <is>
          <t>Verify safe termination when storage is exhausted during capture.</t>
        </is>
      </c>
      <c r="P12" s="25" t="inlineStr">
        <is>
          <t>Recorder starts with enough space for a short recording but not for the planned duration.</t>
        </is>
      </c>
      <c r="Q12" s="25" t="inlineStr">
        <is>
          <t>Continue recording until storage is exhausted.</t>
        </is>
      </c>
      <c r="R12" s="25" t="inlineStr">
        <is>
          <t>1. Start recording.
2. Continue until the storage-full condition occurs.
3. Observe device behavior.
4. Restart if required.
5. Inspect and sync recoverable audio.</t>
        </is>
      </c>
      <c r="S12" s="25" t="inlineStr">
        <is>
          <t>The recorder stops safely and shows a specific storage error. It must not continue displaying Recording after writes have failed.</t>
        </is>
      </c>
      <c r="T12" s="25" t="inlineStr">
        <is>
          <t>Captured audio is finalized if possible, or marked corrupted/interrupted. No zero-byte Completed session is created.</t>
        </is>
      </c>
      <c r="U12" s="25" t="inlineStr">
        <is>
          <t>The recorder must stop cleanly and keep what it captured. Server-side the take arrives as a normal short session. Verify byte count matches sessionAssembledBytes() semantics: part0 keeps its 44-byte WAV header, later parts are stripped — the server's stored bytes must equal that exactly, because GET /sessions/verify compares it before the device frees audio.</t>
        </is>
      </c>
      <c r="V12" s="25" t="inlineStr">
        <is>
          <t>Check final playable duration, file size, error status, session count, and cleanup of temporary files.</t>
        </is>
      </c>
      <c r="W12" s="25" t="inlineStr">
        <is>
          <t>The condition is detected, communicated, and handled without silent corruption or false completion.</t>
        </is>
      </c>
      <c r="X12" s="24" t="inlineStr">
        <is>
          <t>Not Run</t>
        </is>
      </c>
      <c r="Y12" s="24" t="inlineStr"/>
      <c r="Z12" s="9">
        <f>COUNTIF('Defect Log'!$C$2:$C$500,$A12)</f>
        <v/>
      </c>
      <c r="AA12" s="24" t="inlineStr"/>
      <c r="AB12" s="24" t="inlineStr"/>
      <c r="AC12" s="24" t="inlineStr"/>
      <c r="AD12" s="24" t="inlineStr"/>
    </row>
    <row r="13" ht="58" customHeight="1">
      <c r="A13" s="23" t="inlineStr">
        <is>
          <t>SATE-REC-006</t>
        </is>
      </c>
      <c r="B13" s="24" t="inlineStr">
        <is>
          <t>In scope</t>
        </is>
      </c>
      <c r="C13" s="25" t="inlineStr"/>
      <c r="D13" s="9" t="inlineStr">
        <is>
          <t>Both</t>
        </is>
      </c>
      <c r="E13" s="24" t="inlineStr">
        <is>
          <t>Tester + Engineer</t>
        </is>
      </c>
      <c r="F13" s="25" t="inlineStr">
        <is>
          <t>Recorder · phone · browser + Supabase read access · Serial console · ability to cut power at a chosen moment</t>
        </is>
      </c>
      <c r="G13" s="24" t="inlineStr">
        <is>
          <t>Recorder Interruption and Local Persistence</t>
        </is>
      </c>
      <c r="H13" s="25" t="inlineStr">
        <is>
          <t>Restart during the local save/finalization step</t>
        </is>
      </c>
      <c r="I13" s="24" t="inlineStr">
        <is>
          <t>P0</t>
        </is>
      </c>
      <c r="J13" s="24" t="inlineStr">
        <is>
          <t>Recovery</t>
        </is>
      </c>
      <c r="K13" s="25" t="inlineStr">
        <is>
          <t>RQ-03, RQ-04, RQ-06</t>
        </is>
      </c>
      <c r="L13" s="9" t="n">
        <v>3</v>
      </c>
      <c r="M13" s="25" t="inlineStr">
        <is>
          <t>RQ-06</t>
        </is>
      </c>
      <c r="N13" s="25" t="inlineStr">
        <is>
          <t>SATE Recorder; Local Storage; Upload Queue</t>
        </is>
      </c>
      <c r="O13" s="25" t="inlineStr">
        <is>
          <t>Verify crash safety while the recorder finalizes audio and creates the upload queue item.</t>
        </is>
      </c>
      <c r="P13" s="25" t="inlineStr">
        <is>
          <t>A recording is ready to stop; tester can restart immediately after Stop.</t>
        </is>
      </c>
      <c r="Q13" s="25" t="inlineStr">
        <is>
          <t>5-minute recording.</t>
        </is>
      </c>
      <c r="R13" s="25" t="inlineStr">
        <is>
          <t>1. Record five minutes.
2. Press Stop.
3. Restart the recorder while Save/Finalizing is displayed.
4. Restart and inspect session/queue state.
5. Allow synchronization.</t>
        </is>
      </c>
      <c r="S13" s="25" t="inlineStr">
        <is>
          <t>After restart, the session is either safely recovered and queued once or clearly marked failed. The UI must not show two copies.</t>
        </is>
      </c>
      <c r="T13" s="25" t="inlineStr">
        <is>
          <t>Only one final audio object/session is created. Temporary files are reconciled or removed.</t>
        </is>
      </c>
      <c r="U13" s="25" t="inlineStr">
        <is>
          <t>The crash window is inside finalization. Either a complete take or a recoverable partial is acceptable; a take marked synced with no server object is not. Check for the ghost signature: a .synced marker on device with no matching row/object server-side.</t>
        </is>
      </c>
      <c r="V13" s="25" t="inlineStr">
        <is>
          <t>Compare local files, queue entries, backend records, audio duration, and processing jobs.</t>
        </is>
      </c>
      <c r="W13" s="25" t="inlineStr">
        <is>
          <t>No duplicate session, orphan temporary file affecting storage, or silent loss occurs.</t>
        </is>
      </c>
      <c r="X13" s="24" t="inlineStr">
        <is>
          <t>Not Run</t>
        </is>
      </c>
      <c r="Y13" s="24" t="inlineStr"/>
      <c r="Z13" s="9">
        <f>COUNTIF('Defect Log'!$C$2:$C$500,$A13)</f>
        <v/>
      </c>
      <c r="AA13" s="24" t="inlineStr"/>
      <c r="AB13" s="24" t="inlineStr"/>
      <c r="AC13" s="24" t="inlineStr"/>
      <c r="AD13" s="24" t="inlineStr"/>
    </row>
    <row r="14" ht="58" customHeight="1">
      <c r="A14" s="23" t="inlineStr">
        <is>
          <t>SATE-REC-007</t>
        </is>
      </c>
      <c r="B14" s="24" t="inlineStr">
        <is>
          <t>In scope</t>
        </is>
      </c>
      <c r="C14" s="25" t="inlineStr"/>
      <c r="D14" s="9" t="inlineStr">
        <is>
          <t>Both</t>
        </is>
      </c>
      <c r="E14" s="24" t="inlineStr">
        <is>
          <t>Tester + Engineer</t>
        </is>
      </c>
      <c r="F14" s="25" t="inlineStr">
        <is>
          <t>Recorder · phone · browser + Supabase read access · Serial console on the recorder</t>
        </is>
      </c>
      <c r="G14" s="24" t="inlineStr">
        <is>
          <t>Recorder Interruption and Local Persistence</t>
        </is>
      </c>
      <c r="H14" s="25" t="inlineStr">
        <is>
          <t>Restart after recording stops but before upload begins</t>
        </is>
      </c>
      <c r="I14" s="24" t="inlineStr">
        <is>
          <t>P0</t>
        </is>
      </c>
      <c r="J14" s="24" t="inlineStr">
        <is>
          <t>Recovery</t>
        </is>
      </c>
      <c r="K14" s="25" t="inlineStr">
        <is>
          <t>RQ-03, RQ-08, RQ-10</t>
        </is>
      </c>
      <c r="L14" s="9" t="n">
        <v>3</v>
      </c>
      <c r="M14" s="25" t="inlineStr"/>
      <c r="N14" s="25" t="inlineStr">
        <is>
          <t>SATE Recorder; Upload Queue; Supabase</t>
        </is>
      </c>
      <c r="O14" s="25" t="inlineStr">
        <is>
          <t>Verify persistence of a locally saved, not-yet-uploaded session.</t>
        </is>
      </c>
      <c r="P14" s="25" t="inlineStr">
        <is>
          <t>Recording has stopped and is locally saved; network upload has not begun.</t>
        </is>
      </c>
      <c r="Q14" s="25" t="inlineStr">
        <is>
          <t>3-minute recording.</t>
        </is>
      </c>
      <c r="R14" s="25" t="inlineStr">
        <is>
          <t>1. Record and stop the session.
2. Restart immediately before upload starts.
3. Reconnect to network.
4. Observe queue recovery and final result.</t>
        </is>
      </c>
      <c r="S14" s="25" t="inlineStr">
        <is>
          <t>The pending session reappears after restart and uploads automatically or through the documented resume action.</t>
        </is>
      </c>
      <c r="T14" s="25" t="inlineStr">
        <is>
          <t>One queue item maps to one session. Status progresses from pending to completed without creating a second session.</t>
        </is>
      </c>
      <c r="U14" s="25" t="inlineStr">
        <is>
          <t>Nothing has been uploaded yet, so the server should show no row until connectivity returns. Then exactly one row appears. This is the case that proves reclaim safety: the device must NOT free the audio until GET /api/sessions/verify (device-api ≥v15) returns stored:true — which checks the row **and** objectExists. Any doubt keeps the audio.</t>
        </is>
      </c>
      <c r="V14" s="25" t="inlineStr">
        <is>
          <t>Verify local-to-server session identity, queue persistence, audio completeness, and final status.</t>
        </is>
      </c>
      <c r="W14" s="25" t="inlineStr">
        <is>
          <t>The pending session survives restart and completes without user re-recording.</t>
        </is>
      </c>
      <c r="X14" s="24" t="inlineStr">
        <is>
          <t>Not Run</t>
        </is>
      </c>
      <c r="Y14" s="24" t="inlineStr"/>
      <c r="Z14" s="9">
        <f>COUNTIF('Defect Log'!$C$2:$C$500,$A14)</f>
        <v/>
      </c>
      <c r="AA14" s="24" t="inlineStr"/>
      <c r="AB14" s="24" t="inlineStr"/>
      <c r="AC14" s="24" t="inlineStr"/>
      <c r="AD14" s="24" t="inlineStr"/>
    </row>
    <row r="15" ht="58" customHeight="1">
      <c r="A15" s="23" t="inlineStr">
        <is>
          <t>SATE-NET-001</t>
        </is>
      </c>
      <c r="B15" s="24" t="inlineStr">
        <is>
          <t>In scope</t>
        </is>
      </c>
      <c r="C15" s="25" t="inlineStr"/>
      <c r="D15" s="9" t="inlineStr">
        <is>
          <t>Both</t>
        </is>
      </c>
      <c r="E15" s="24" t="inlineStr">
        <is>
          <t>Tester + Engineer</t>
        </is>
      </c>
      <c r="F15" s="25" t="inlineStr">
        <is>
          <t>Recorder · phone · browser + Supabase read access</t>
        </is>
      </c>
      <c r="G15" s="24" t="inlineStr">
        <is>
          <t>Network, Offline, and Upload Recovery</t>
        </is>
      </c>
      <c r="H15" s="25" t="inlineStr">
        <is>
          <t>Recording starts and ends while fully offline</t>
        </is>
      </c>
      <c r="I15" s="24" t="inlineStr">
        <is>
          <t>P0</t>
        </is>
      </c>
      <c r="J15" s="24" t="inlineStr">
        <is>
          <t>Offline / Recovery</t>
        </is>
      </c>
      <c r="K15" s="25" t="inlineStr">
        <is>
          <t>RQ-04, RQ-08, RQ-10</t>
        </is>
      </c>
      <c r="L15" s="9" t="n">
        <v>3</v>
      </c>
      <c r="M15" s="25" t="inlineStr"/>
      <c r="N15" s="25" t="inlineStr">
        <is>
          <t>SATE Recorder; Local Storage; Upload Queue; Supabase</t>
        </is>
      </c>
      <c r="O15" s="25" t="inlineStr">
        <is>
          <t>Verify offline recording and automatic upload when connectivity returns.</t>
        </is>
      </c>
      <c r="P15" s="25" t="inlineStr">
        <is>
          <t>Wi-Fi is disabled or unavailable before the session starts.</t>
        </is>
      </c>
      <c r="Q15" s="25" t="inlineStr">
        <is>
          <t>5-minute recording; restore Internet after the session is saved.</t>
        </is>
      </c>
      <c r="R15" s="25" t="inlineStr">
        <is>
          <t>1. Disable connectivity.
2. Record and stop a session.
3. Confirm local Pending Upload status.
4. Restore Internet.
5. Wait without manually creating a second session.
6. Review the session on the Web App.</t>
        </is>
      </c>
      <c r="S15" s="25" t="inlineStr">
        <is>
          <t>Recording works offline. The session is visibly queued. When Internet returns, upload starts automatically or at the documented trigger.</t>
        </is>
      </c>
      <c r="T15" s="25" t="inlineStr">
        <is>
          <t>One queued session uploads once, processes, and reaches Completed.</t>
        </is>
      </c>
      <c r="U15" s="25" t="inlineStr">
        <is>
          <t>No server activity during the take. On reconnect, one row appears with the full byte count. Confirm the recorder did not free SD audio in the meantime — verified trim only releases audio for synced takes older than the newest KEEP_AUDIO_SESSIONS (=5) **and** only after byte-exact stored:true.</t>
        </is>
      </c>
      <c r="V15" s="25" t="inlineStr">
        <is>
          <t>Verify local persistence, same session ID before/after upload, complete audio, queue removal only after server acknowledgement, and no duplicate.</t>
        </is>
      </c>
      <c r="W15" s="25" t="inlineStr">
        <is>
          <t>Offline recording is preserved and completes automatically after connectivity returns.</t>
        </is>
      </c>
      <c r="X15" s="24" t="inlineStr">
        <is>
          <t>Not Run</t>
        </is>
      </c>
      <c r="Y15" s="24" t="inlineStr"/>
      <c r="Z15" s="9">
        <f>COUNTIF('Defect Log'!$C$2:$C$500,$A15)</f>
        <v/>
      </c>
      <c r="AA15" s="24" t="inlineStr"/>
      <c r="AB15" s="24" t="inlineStr"/>
      <c r="AC15" s="24" t="inlineStr"/>
      <c r="AD15" s="24" t="inlineStr"/>
    </row>
    <row r="16" ht="58" customHeight="1">
      <c r="A16" s="23" t="inlineStr">
        <is>
          <t>SATE-NET-002</t>
        </is>
      </c>
      <c r="B16" s="24" t="inlineStr">
        <is>
          <t>In scope</t>
        </is>
      </c>
      <c r="C16" s="25" t="inlineStr"/>
      <c r="D16" s="9" t="inlineStr">
        <is>
          <t>Both</t>
        </is>
      </c>
      <c r="E16" s="24" t="inlineStr">
        <is>
          <t>Tester + Engineer</t>
        </is>
      </c>
      <c r="F16" s="25" t="inlineStr">
        <is>
          <t>Recorder · phone · browser + Supabase read access</t>
        </is>
      </c>
      <c r="G16" s="24" t="inlineStr">
        <is>
          <t>Network, Offline, and Upload Recovery</t>
        </is>
      </c>
      <c r="H16" s="25" t="inlineStr">
        <is>
          <t>Internet connection is lost during recording</t>
        </is>
      </c>
      <c r="I16" s="24" t="inlineStr">
        <is>
          <t>P0</t>
        </is>
      </c>
      <c r="J16" s="24" t="inlineStr">
        <is>
          <t>Offline / Functional</t>
        </is>
      </c>
      <c r="K16" s="25" t="inlineStr">
        <is>
          <t>RQ-04, RQ-10</t>
        </is>
      </c>
      <c r="L16" s="9" t="n">
        <v>2</v>
      </c>
      <c r="M16" s="25" t="inlineStr"/>
      <c r="N16" s="25" t="inlineStr">
        <is>
          <t>SATE Recorder; Local Storage; Network Detection</t>
        </is>
      </c>
      <c r="O16" s="25" t="inlineStr">
        <is>
          <t>Verify that recording is independent of Internet availability.</t>
        </is>
      </c>
      <c r="P16" s="25" t="inlineStr">
        <is>
          <t>Recording begins online.</t>
        </is>
      </c>
      <c r="Q16" s="25" t="inlineStr">
        <is>
          <t>5-minute session; disable Internet after 1 minute and restore after Stop.</t>
        </is>
      </c>
      <c r="R16" s="25" t="inlineStr">
        <is>
          <t>1. Start online recording.
2. Disable Internet during capture.
3. Continue recording.
4. Stop the session while offline.
5. Restore Internet and wait for completion.</t>
        </is>
      </c>
      <c r="S16" s="25" t="inlineStr">
        <is>
          <t>Recording continues without interruption. The device shows offline/pending status after Stop and later uploads normally.</t>
        </is>
      </c>
      <c r="T16" s="25" t="inlineStr">
        <is>
          <t>One complete audio object and one session are created after reconnection.</t>
        </is>
      </c>
      <c r="U16" s="25" t="inlineStr">
        <is>
          <t>The take continues locally; Wi-Fi loss must not stop capture. Watch for the upload retrying after association returns. If the device came up offline and the AP is down, the offline fallback still starts the net task so heartbeat, remote stop and OTA health-confirm keep working — verify the device is reachable during the take.</t>
        </is>
      </c>
      <c r="V16" s="25" t="inlineStr">
        <is>
          <t>Check audio for gaps at the disconnect point, duration, queue state, and final transcript match.</t>
        </is>
      </c>
      <c r="W16" s="25" t="inlineStr">
        <is>
          <t>No capture gap, crash, duplicate session, or misleading completion status occurs.</t>
        </is>
      </c>
      <c r="X16" s="24" t="inlineStr">
        <is>
          <t>Not Run</t>
        </is>
      </c>
      <c r="Y16" s="24" t="inlineStr"/>
      <c r="Z16" s="9">
        <f>COUNTIF('Defect Log'!$C$2:$C$500,$A16)</f>
        <v/>
      </c>
      <c r="AA16" s="24" t="inlineStr"/>
      <c r="AB16" s="24" t="inlineStr"/>
      <c r="AC16" s="24" t="inlineStr"/>
      <c r="AD16" s="24" t="inlineStr"/>
    </row>
    <row r="17" ht="58" customHeight="1">
      <c r="A17" s="23" t="inlineStr">
        <is>
          <t>SATE-NET-003</t>
        </is>
      </c>
      <c r="B17" s="24" t="inlineStr">
        <is>
          <t>In scope</t>
        </is>
      </c>
      <c r="C17" s="25" t="inlineStr"/>
      <c r="D17" s="9" t="inlineStr">
        <is>
          <t>Both</t>
        </is>
      </c>
      <c r="E17" s="24" t="inlineStr">
        <is>
          <t>Tester + Engineer</t>
        </is>
      </c>
      <c r="F17" s="25" t="inlineStr">
        <is>
          <t>Recorder · phone · browser + Supabase read access</t>
        </is>
      </c>
      <c r="G17" s="24" t="inlineStr">
        <is>
          <t>Network, Offline, and Upload Recovery</t>
        </is>
      </c>
      <c r="H17" s="25" t="inlineStr">
        <is>
          <t>Internet is lost after Stop but before upload starts</t>
        </is>
      </c>
      <c r="I17" s="24" t="inlineStr">
        <is>
          <t>P0</t>
        </is>
      </c>
      <c r="J17" s="24" t="inlineStr">
        <is>
          <t>Recovery</t>
        </is>
      </c>
      <c r="K17" s="25" t="inlineStr">
        <is>
          <t>RQ-08, RQ-10</t>
        </is>
      </c>
      <c r="L17" s="9" t="n">
        <v>2</v>
      </c>
      <c r="M17" s="25" t="inlineStr"/>
      <c r="N17" s="25" t="inlineStr">
        <is>
          <t>SATE Recorder; Upload Queue</t>
        </is>
      </c>
      <c r="O17" s="25" t="inlineStr">
        <is>
          <t>Verify correct queuing when a saved session cannot begin uploading.</t>
        </is>
      </c>
      <c r="P17" s="25" t="inlineStr">
        <is>
          <t>Recording is complete; upload has not yet started.</t>
        </is>
      </c>
      <c r="Q17" s="25" t="inlineStr">
        <is>
          <t>3-minute recording.</t>
        </is>
      </c>
      <c r="R17" s="25" t="inlineStr">
        <is>
          <t>1. Stop the recording.
2. Immediately disable Internet.
3. Confirm Pending Upload status.
4. Restore Internet.
5. Observe automatic upload and processing.</t>
        </is>
      </c>
      <c r="S17" s="25" t="inlineStr">
        <is>
          <t>The session remains visible and queued. No repeated user action is required unless explicitly designed.</t>
        </is>
      </c>
      <c r="T17" s="25" t="inlineStr">
        <is>
          <t>The same session is uploaded once after reconnection. Queue state is cleared only after successful acknowledgement.</t>
        </is>
      </c>
      <c r="U17" s="25" t="inlineStr">
        <is>
          <t>Nothing on the server until connectivity returns, then one complete row. Check GET /sessions/upload-progress (device-api ≥v16) reports zero in-flight bytes while offline.</t>
        </is>
      </c>
      <c r="V17" s="25" t="inlineStr">
        <is>
          <t>Verify one session, one audio object, correct status transitions, and no loss of local file before acknowledgement.</t>
        </is>
      </c>
      <c r="W17" s="25" t="inlineStr">
        <is>
          <t>The saved session survives the outage and completes once connectivity returns.</t>
        </is>
      </c>
      <c r="X17" s="24" t="inlineStr">
        <is>
          <t>Not Run</t>
        </is>
      </c>
      <c r="Y17" s="24" t="inlineStr"/>
      <c r="Z17" s="9">
        <f>COUNTIF('Defect Log'!$C$2:$C$500,$A17)</f>
        <v/>
      </c>
      <c r="AA17" s="24" t="inlineStr"/>
      <c r="AB17" s="24" t="inlineStr"/>
      <c r="AC17" s="24" t="inlineStr"/>
      <c r="AD17" s="24" t="inlineStr"/>
    </row>
    <row r="18" ht="58" customHeight="1">
      <c r="A18" s="23" t="inlineStr">
        <is>
          <t>SATE-NET-004</t>
        </is>
      </c>
      <c r="B18" s="24" t="inlineStr">
        <is>
          <t>In scope</t>
        </is>
      </c>
      <c r="C18" s="25" t="inlineStr">
        <is>
          <t>Run the recorder's direct Wi-Fi upload path.</t>
        </is>
      </c>
      <c r="D18" s="9" t="inlineStr">
        <is>
          <t>Both</t>
        </is>
      </c>
      <c r="E18" s="24" t="inlineStr">
        <is>
          <t>Tester + Engineer</t>
        </is>
      </c>
      <c r="F18" s="25" t="inlineStr">
        <is>
          <t>Recorder · phone · browser + Supabase read access</t>
        </is>
      </c>
      <c r="G18" s="24" t="inlineStr">
        <is>
          <t>Network, Offline, and Upload Recovery</t>
        </is>
      </c>
      <c r="H18" s="25" t="inlineStr">
        <is>
          <t>Internet drops during an active upload</t>
        </is>
      </c>
      <c r="I18" s="24" t="inlineStr">
        <is>
          <t>P0</t>
        </is>
      </c>
      <c r="J18" s="24" t="inlineStr">
        <is>
          <t>Recovery / Data Integrity</t>
        </is>
      </c>
      <c r="K18" s="25" t="inlineStr">
        <is>
          <t>RQ-03, RQ-09, RQ-10</t>
        </is>
      </c>
      <c r="L18" s="9" t="n">
        <v>3</v>
      </c>
      <c r="M18" s="25" t="inlineStr">
        <is>
          <t>RQ-09</t>
        </is>
      </c>
      <c r="N18" s="25" t="inlineStr">
        <is>
          <t>SATE Recorder or Mobile App; Supabase Storage; Upload Queue</t>
        </is>
      </c>
      <c r="O18" s="25" t="inlineStr">
        <is>
          <t>Verify upload retry or resume without duplication or file corruption.</t>
        </is>
      </c>
      <c r="P18" s="25" t="inlineStr">
        <is>
          <t>An upload large enough to interrupt is in progress.</t>
        </is>
      </c>
      <c r="Q18" s="25" t="inlineStr">
        <is>
          <t>10-minute or larger session; disable Internet at approximately 40% upload.</t>
        </is>
      </c>
      <c r="R18" s="25" t="inlineStr">
        <is>
          <t>1. Start upload.
2. Disable Internet mid-transfer.
3. Wait for failure detection.
4. Restore Internet.
5. Allow automatic retry/resume.
6. Inspect backend and Web App.</t>
        </is>
      </c>
      <c r="S18" s="25" t="inlineStr">
        <is>
          <t>The session changes to a retryable/pending state and later completes. The UI does not remain permanently stuck at Uploading.</t>
        </is>
      </c>
      <c r="T18" s="25" t="inlineStr">
        <is>
          <t>Upload resumes or restarts according to the documented strategy. Incomplete objects are overwritten, completed, or cleaned safely. One final session exists.</t>
        </is>
      </c>
      <c r="U18" s="25" t="inlineStr">
        <is>
          <t>Chunked upload stores each slice as its own _tmp/&lt;patient&gt;/s&lt;n&gt;/&lt;offset&gt;.part object and stitches once on the final slice (device-api ≥v12 — the earlier design rewrote the whole temp blob per slice, was quadratic, and stalled long uploads). A resumed upload must not duplicate parts. If the sizes disagree the edge rejects rather than storing a corrupt WAV. Inspect leftover _tmp/ objects after success — they should be gone.</t>
        </is>
      </c>
      <c r="V18" s="25" t="inlineStr">
        <is>
          <t>Compare local/server file size, duration, checksum if available, beginning/end markers, object count, and processing job count.</t>
        </is>
      </c>
      <c r="W18" s="25" t="inlineStr">
        <is>
          <t>The final server audio is complete and playable, with exactly one user-visible session and no orphan file that affects later processing.</t>
        </is>
      </c>
      <c r="X18" s="24" t="inlineStr">
        <is>
          <t>Not Run</t>
        </is>
      </c>
      <c r="Y18" s="24" t="inlineStr"/>
      <c r="Z18" s="9">
        <f>COUNTIF('Defect Log'!$C$2:$C$500,$A18)</f>
        <v/>
      </c>
      <c r="AA18" s="24" t="inlineStr"/>
      <c r="AB18" s="24" t="inlineStr"/>
      <c r="AC18" s="24" t="inlineStr"/>
      <c r="AD18" s="24" t="inlineStr"/>
    </row>
    <row r="19" ht="58" customHeight="1">
      <c r="A19" s="23" t="inlineStr">
        <is>
          <t>SATE-NET-005</t>
        </is>
      </c>
      <c r="B19" s="24" t="inlineStr">
        <is>
          <t>In scope (reduced)</t>
        </is>
      </c>
      <c r="C19" s="25" t="inlineStr">
        <is>
          <t>Recorder idle or asleep when connectivity returns. Skip phone background / screen-lock.</t>
        </is>
      </c>
      <c r="D19" s="9" t="inlineStr">
        <is>
          <t>Both</t>
        </is>
      </c>
      <c r="E19" s="24" t="inlineStr">
        <is>
          <t>Tester + Engineer</t>
        </is>
      </c>
      <c r="F19" s="25" t="inlineStr">
        <is>
          <t>Recorder · phone · browser + Supabase read access</t>
        </is>
      </c>
      <c r="G19" s="24" t="inlineStr">
        <is>
          <t>Network, Offline, and Upload Recovery</t>
        </is>
      </c>
      <c r="H19" s="25" t="inlineStr">
        <is>
          <t>Connectivity returns while app/device is in background or screen is locked</t>
        </is>
      </c>
      <c r="I19" s="24" t="inlineStr">
        <is>
          <t>P0</t>
        </is>
      </c>
      <c r="J19" s="24" t="inlineStr">
        <is>
          <t>Recovery / Mobile Lifecycle</t>
        </is>
      </c>
      <c r="K19" s="25" t="inlineStr">
        <is>
          <t>RQ-10, RQ-19</t>
        </is>
      </c>
      <c r="L19" s="9" t="n">
        <v>2</v>
      </c>
      <c r="M19" s="25" t="inlineStr"/>
      <c r="N19" s="25" t="inlineStr">
        <is>
          <t>SATE Mobile App; SATE Recorder; OS Background Services; Upload Queue</t>
        </is>
      </c>
      <c r="O19" s="25" t="inlineStr">
        <is>
          <t>Verify the documented background upload behavior.</t>
        </is>
      </c>
      <c r="P19" s="25" t="inlineStr">
        <is>
          <t>A session is pending offline; mobile app is backgrounded or phone is locked before Internet returns.</t>
        </is>
      </c>
      <c r="Q19" s="25" t="inlineStr">
        <is>
          <t>Pending 5-minute session; supported phone OS.</t>
        </is>
      </c>
      <c r="R19" s="25" t="inlineStr">
        <is>
          <t>1. Create an offline pending session.
2. Background the app or lock the phone.
3. Restore Internet.
4. Wait for the documented background window.
5. Unlock/open the app if necessary.
6. Check completion.</t>
        </is>
      </c>
      <c r="S19" s="25" t="inlineStr">
        <is>
          <t>Upload either starts in the background as designed or begins immediately when the app is reopened. The pending session is not lost.</t>
        </is>
      </c>
      <c r="T19" s="25" t="inlineStr">
        <is>
          <t>Queue state remains durable and the session uploads once.</t>
        </is>
      </c>
      <c r="U19" s="25" t="inlineStr">
        <is>
          <t>Server side just sees a later upload. The interesting check is that only ONE upload lands, not one per foreground/background transition.</t>
        </is>
      </c>
      <c r="V19" s="25" t="inlineStr">
        <is>
          <t>Verify OS logs if available, queue persistence, session count, and final audio completeness.</t>
        </is>
      </c>
      <c r="W19" s="25" t="inlineStr">
        <is>
          <t>Behavior matches the supported background policy and no session remains permanently stranded.</t>
        </is>
      </c>
      <c r="X19" s="24" t="inlineStr">
        <is>
          <t>Not Run</t>
        </is>
      </c>
      <c r="Y19" s="24" t="inlineStr"/>
      <c r="Z19" s="9">
        <f>COUNTIF('Defect Log'!$C$2:$C$500,$A19)</f>
        <v/>
      </c>
      <c r="AA19" s="24" t="inlineStr"/>
      <c r="AB19" s="24" t="inlineStr"/>
      <c r="AC19" s="24" t="inlineStr"/>
      <c r="AD19" s="24" t="inlineStr"/>
    </row>
    <row r="20" ht="58" customHeight="1">
      <c r="A20" s="23" t="inlineStr">
        <is>
          <t>SATE-NET-006</t>
        </is>
      </c>
      <c r="B20" s="24" t="inlineStr">
        <is>
          <t>In scope (reduced)</t>
        </is>
      </c>
      <c r="C20" s="25" t="inlineStr">
        <is>
          <t>Recorder's own network detection only. Skip the app's detection.</t>
        </is>
      </c>
      <c r="D20" s="9" t="inlineStr">
        <is>
          <t>Both</t>
        </is>
      </c>
      <c r="E20" s="24" t="inlineStr">
        <is>
          <t>Tester + Engineer</t>
        </is>
      </c>
      <c r="F20" s="25" t="inlineStr">
        <is>
          <t>Recorder · phone · browser + Supabase read access</t>
        </is>
      </c>
      <c r="G20" s="24" t="inlineStr">
        <is>
          <t>Network, Offline, and Upload Recovery</t>
        </is>
      </c>
      <c r="H20" s="25" t="inlineStr">
        <is>
          <t>Wi-Fi is connected but Internet access is unavailable</t>
        </is>
      </c>
      <c r="I20" s="24" t="inlineStr">
        <is>
          <t>P1</t>
        </is>
      </c>
      <c r="J20" s="24" t="inlineStr">
        <is>
          <t>Negative / Recovery</t>
        </is>
      </c>
      <c r="K20" s="25" t="inlineStr">
        <is>
          <t>RQ-10</t>
        </is>
      </c>
      <c r="L20" s="9" t="n">
        <v>1</v>
      </c>
      <c r="M20" s="25" t="inlineStr"/>
      <c r="N20" s="25" t="inlineStr">
        <is>
          <t>SATE Recorder; Mobile App; Network Detection</t>
        </is>
      </c>
      <c r="O20" s="25" t="inlineStr">
        <is>
          <t>Verify that the system checks real Internet/backend reachability rather than Wi-Fi association only.</t>
        </is>
      </c>
      <c r="P20" s="25" t="inlineStr">
        <is>
          <t>Connect to a router with no Internet access.</t>
        </is>
      </c>
      <c r="Q20" s="25" t="inlineStr">
        <is>
          <t>3-minute session.</t>
        </is>
      </c>
      <c r="R20" s="25" t="inlineStr">
        <is>
          <t>1. Connect to Wi-Fi without Internet.
2. Record and stop a session.
3. Observe upload status.
4. Restore Internet without changing Wi-Fi if possible.
5. Wait for upload.</t>
        </is>
      </c>
      <c r="S20" s="25" t="inlineStr">
        <is>
          <t>The UI indicates Offline, Cannot Reach Service, or Pending Upload rather than claiming successful upload.</t>
        </is>
      </c>
      <c r="T20" s="25" t="inlineStr">
        <is>
          <t>No false server acknowledgement is stored. The queue retries safely after reachability returns.</t>
        </is>
      </c>
      <c r="U20" s="25" t="inlineStr">
        <is>
          <t>Associated-but-no-internet must be classified as a transient failure, not a permanent one. The session should stay queued (or return to it), never jump to error.</t>
        </is>
      </c>
      <c r="V20" s="25" t="inlineStr">
        <is>
          <t>Verify local file remains, backend has no incomplete Completed record, and final upload creates one session.</t>
        </is>
      </c>
      <c r="W20" s="25" t="inlineStr">
        <is>
          <t>The system does not confuse Wi-Fi connection with successful synchronization.</t>
        </is>
      </c>
      <c r="X20" s="24" t="inlineStr">
        <is>
          <t>Not Run</t>
        </is>
      </c>
      <c r="Y20" s="24" t="inlineStr"/>
      <c r="Z20" s="9">
        <f>COUNTIF('Defect Log'!$C$2:$C$500,$A20)</f>
        <v/>
      </c>
      <c r="AA20" s="24" t="inlineStr"/>
      <c r="AB20" s="24" t="inlineStr"/>
      <c r="AC20" s="24" t="inlineStr"/>
      <c r="AD20" s="24" t="inlineStr"/>
    </row>
    <row r="21" ht="58" customHeight="1">
      <c r="A21" s="23" t="inlineStr">
        <is>
          <t>SATE-NET-007</t>
        </is>
      </c>
      <c r="B21" s="24" t="inlineStr">
        <is>
          <t>In scope (reduced)</t>
        </is>
      </c>
      <c r="C21" s="25" t="inlineStr">
        <is>
          <t>Recorder behind the captive portal only. Skip the app.</t>
        </is>
      </c>
      <c r="D21" s="9" t="inlineStr">
        <is>
          <t>Both</t>
        </is>
      </c>
      <c r="E21" s="24" t="inlineStr">
        <is>
          <t>Tester + Engineer</t>
        </is>
      </c>
      <c r="F21" s="25" t="inlineStr">
        <is>
          <t>Recorder · phone · browser + Supabase read access · A captive-portal access point</t>
        </is>
      </c>
      <c r="G21" s="24" t="inlineStr">
        <is>
          <t>Network, Offline, and Upload Recovery</t>
        </is>
      </c>
      <c r="H21" s="25" t="inlineStr">
        <is>
          <t>Captive portal or authentication-required Wi-Fi</t>
        </is>
      </c>
      <c r="I21" s="24" t="inlineStr">
        <is>
          <t>P2</t>
        </is>
      </c>
      <c r="J21" s="24" t="inlineStr">
        <is>
          <t>Negative / Compatibility</t>
        </is>
      </c>
      <c r="K21" s="25" t="inlineStr">
        <is>
          <t>RQ-10, RQ-19</t>
        </is>
      </c>
      <c r="L21" s="9" t="n">
        <v>2</v>
      </c>
      <c r="M21" s="25" t="inlineStr"/>
      <c r="N21" s="25" t="inlineStr">
        <is>
          <t>SATE Recorder; Mobile App; Network Detection</t>
        </is>
      </c>
      <c r="O21" s="25" t="inlineStr">
        <is>
          <t>Verify safe behavior on a network that requires browser sign-in.</t>
        </is>
      </c>
      <c r="P21" s="25" t="inlineStr">
        <is>
          <t>Connect to a captive-portal network without completing sign-in.</t>
        </is>
      </c>
      <c r="Q21" s="25" t="inlineStr">
        <is>
          <t>3-minute pending session.</t>
        </is>
      </c>
      <c r="R21" s="25" t="inlineStr">
        <is>
          <t>1. Connect to captive-portal Wi-Fi.
2. Attempt sync.
3. Complete portal sign-in.
4. Observe retry and completion.</t>
        </is>
      </c>
      <c r="S21" s="25" t="inlineStr">
        <is>
          <t>The system shows a network error/pending state until Internet is usable, then retries without creating a second session.</t>
        </is>
      </c>
      <c r="T21" s="25" t="inlineStr">
        <is>
          <t>No invalid Completed state or duplicate upload occurs.</t>
        </is>
      </c>
      <c r="U21" s="25" t="inlineStr">
        <is>
          <t>Captive portal returns an HTTP 200 with HTML rather than the expected JSON. Confirm the device treats an unparseable body as a failure and keeps the audio — a 2xx alone must never be read as "durably stored". This is exactly the class that produced the 413 ghosts.</t>
        </is>
      </c>
      <c r="V21" s="25" t="inlineStr">
        <is>
          <t>Verify queue durability, one final session, and correct error recovery.</t>
        </is>
      </c>
      <c r="W21" s="25" t="inlineStr">
        <is>
          <t>The session remains safe until the network becomes usable and then completes normally.</t>
        </is>
      </c>
      <c r="X21" s="24" t="inlineStr">
        <is>
          <t>Not Run</t>
        </is>
      </c>
      <c r="Y21" s="24" t="inlineStr"/>
      <c r="Z21" s="9">
        <f>COUNTIF('Defect Log'!$C$2:$C$500,$A21)</f>
        <v/>
      </c>
      <c r="AA21" s="24" t="inlineStr"/>
      <c r="AB21" s="24" t="inlineStr"/>
      <c r="AC21" s="24" t="inlineStr"/>
      <c r="AD21" s="24" t="inlineStr"/>
    </row>
    <row r="22" ht="58" customHeight="1">
      <c r="A22" s="23" t="inlineStr">
        <is>
          <t>SATE-NET-008</t>
        </is>
      </c>
      <c r="B22" s="24" t="inlineStr">
        <is>
          <t>In scope</t>
        </is>
      </c>
      <c r="C22" s="25" t="inlineStr">
        <is>
          <t>Run the recorder's direct Wi-Fi upload path.</t>
        </is>
      </c>
      <c r="D22" s="9" t="inlineStr">
        <is>
          <t>Both</t>
        </is>
      </c>
      <c r="E22" s="24" t="inlineStr">
        <is>
          <t>Tester + Engineer</t>
        </is>
      </c>
      <c r="F22" s="25" t="inlineStr">
        <is>
          <t>Recorder · phone · browser + Supabase read access</t>
        </is>
      </c>
      <c r="G22" s="24" t="inlineStr">
        <is>
          <t>Network, Offline, and Upload Recovery</t>
        </is>
      </c>
      <c r="H22" s="25" t="inlineStr">
        <is>
          <t>Switch from one Wi-Fi network to another or to a hotspot during upload</t>
        </is>
      </c>
      <c r="I22" s="24" t="inlineStr">
        <is>
          <t>P1</t>
        </is>
      </c>
      <c r="J22" s="24" t="inlineStr">
        <is>
          <t>Recovery / Compatibility</t>
        </is>
      </c>
      <c r="K22" s="25" t="inlineStr">
        <is>
          <t>RQ-09, RQ-10</t>
        </is>
      </c>
      <c r="L22" s="9" t="n">
        <v>2</v>
      </c>
      <c r="M22" s="25" t="inlineStr">
        <is>
          <t>RQ-09</t>
        </is>
      </c>
      <c r="N22" s="25" t="inlineStr">
        <is>
          <t>SATE Recorder or Mobile App; Upload Queue; Supabase</t>
        </is>
      </c>
      <c r="O22" s="25" t="inlineStr">
        <is>
          <t>Verify transfer recovery after IP/network changes.</t>
        </is>
      </c>
      <c r="P22" s="25" t="inlineStr">
        <is>
          <t>Upload is in progress and a second valid network is available.</t>
        </is>
      </c>
      <c r="Q22" s="25" t="inlineStr">
        <is>
          <t>10-minute recording.</t>
        </is>
      </c>
      <c r="R22" s="25" t="inlineStr">
        <is>
          <t>1. Start upload on Network A.
2. Disconnect from Network A mid-upload.
3. Connect to Network B or hotspot.
4. Wait for retry/resume.
5. Inspect final session.</t>
        </is>
      </c>
      <c r="S22" s="25" t="inlineStr">
        <is>
          <t>The upload recovers without requiring a new recording. Status updates remain understandable.</t>
        </is>
      </c>
      <c r="T22" s="25" t="inlineStr">
        <is>
          <t>One final audio object is committed. Any partial upload from Network A is reconciled.</t>
        </is>
      </c>
      <c r="U22" s="25" t="inlineStr">
        <is>
          <t>Same as NET-004: the stitch must be resilient to the connection changing underneath it. Check final bytes equals the device's assembled byte count.</t>
        </is>
      </c>
      <c r="V22" s="25" t="inlineStr">
        <is>
          <t>Check object/session counts, file completeness, processing job count, and final transcript.</t>
        </is>
      </c>
      <c r="W22" s="25" t="inlineStr">
        <is>
          <t>Network switching does not produce corruption, duplication, or permanent Uploading state.</t>
        </is>
      </c>
      <c r="X22" s="24" t="inlineStr">
        <is>
          <t>Not Run</t>
        </is>
      </c>
      <c r="Y22" s="24" t="inlineStr"/>
      <c r="Z22" s="9">
        <f>COUNTIF('Defect Log'!$C$2:$C$500,$A22)</f>
        <v/>
      </c>
      <c r="AA22" s="24" t="inlineStr"/>
      <c r="AB22" s="24" t="inlineStr"/>
      <c r="AC22" s="24" t="inlineStr"/>
      <c r="AD22" s="24" t="inlineStr"/>
    </row>
    <row r="23" ht="58" customHeight="1">
      <c r="A23" s="23" t="inlineStr">
        <is>
          <t>SATE-NET-009</t>
        </is>
      </c>
      <c r="B23" s="24" t="inlineStr">
        <is>
          <t>In scope</t>
        </is>
      </c>
      <c r="C23" s="25" t="inlineStr">
        <is>
          <t>Run the recorder's direct Wi-Fi upload path.</t>
        </is>
      </c>
      <c r="D23" s="9" t="inlineStr">
        <is>
          <t>Both</t>
        </is>
      </c>
      <c r="E23" s="24" t="inlineStr">
        <is>
          <t>Tester + Engineer</t>
        </is>
      </c>
      <c r="F23" s="25" t="inlineStr">
        <is>
          <t>Recorder · phone · browser + Supabase read access</t>
        </is>
      </c>
      <c r="G23" s="24" t="inlineStr">
        <is>
          <t>Network, Offline, and Upload Recovery</t>
        </is>
      </c>
      <c r="H23" s="25" t="inlineStr">
        <is>
          <t>Rapidly flapping or weak network</t>
        </is>
      </c>
      <c r="I23" s="24" t="inlineStr">
        <is>
          <t>P1</t>
        </is>
      </c>
      <c r="J23" s="24" t="inlineStr">
        <is>
          <t>Stress / Reliability</t>
        </is>
      </c>
      <c r="K23" s="25" t="inlineStr">
        <is>
          <t>RQ-09, RQ-10, RQ-20</t>
        </is>
      </c>
      <c r="L23" s="9" t="n">
        <v>3</v>
      </c>
      <c r="M23" s="25" t="inlineStr">
        <is>
          <t>RQ-09, RQ-20</t>
        </is>
      </c>
      <c r="N23" s="25" t="inlineStr">
        <is>
          <t>SATE Recorder or Mobile App; Upload Queue</t>
        </is>
      </c>
      <c r="O23" s="25" t="inlineStr">
        <is>
          <t>Verify bounded retry behavior under unstable connectivity.</t>
        </is>
      </c>
      <c r="P23" s="25" t="inlineStr">
        <is>
          <t>Network can be toggled or throttled.</t>
        </is>
      </c>
      <c r="Q23" s="25" t="inlineStr">
        <is>
          <t>10-minute session; alternate online/offline several times.</t>
        </is>
      </c>
      <c r="R23" s="25" t="inlineStr">
        <is>
          <t>1. Start upload.
2. Alternate online and offline states several times.
3. End with a stable connection.
4. Wait for completion.
5. Review retry count and final records.</t>
        </is>
      </c>
      <c r="S23" s="25" t="inlineStr">
        <is>
          <t>The UI does not spam duplicate sessions or become unresponsive. It eventually completes or reaches a clear retryable state.</t>
        </is>
      </c>
      <c r="T23" s="25" t="inlineStr">
        <is>
          <t>Retries are bounded and idempotent. One canonical session and one valid final audio object remain.</t>
        </is>
      </c>
      <c r="U23" s="25" t="inlineStr">
        <is>
          <t>Expect repeated attempts increments. requeue_session applies backoff for transient failures; the watchdog requeue_stale_sessions(p_stuck_minutes=45, p_max_attempts=3) reclaims anything abandoned. The session must not exceed MAX_ATTEMPTS (3) and must settle.</t>
        </is>
      </c>
      <c r="V23" s="25" t="inlineStr">
        <is>
          <t>Review attempt count, backoff timing, session/object counts, final file integrity, and queue cleanup.</t>
        </is>
      </c>
      <c r="W23" s="25" t="inlineStr">
        <is>
          <t>The system recovers when stability returns and never creates conflicting final states.</t>
        </is>
      </c>
      <c r="X23" s="24" t="inlineStr">
        <is>
          <t>Not Run</t>
        </is>
      </c>
      <c r="Y23" s="24" t="inlineStr"/>
      <c r="Z23" s="9">
        <f>COUNTIF('Defect Log'!$C$2:$C$500,$A23)</f>
        <v/>
      </c>
      <c r="AA23" s="24" t="inlineStr"/>
      <c r="AB23" s="24" t="inlineStr"/>
      <c r="AC23" s="24" t="inlineStr"/>
      <c r="AD23" s="24" t="inlineStr"/>
    </row>
    <row r="24" ht="58" customHeight="1">
      <c r="A24" s="23" t="inlineStr">
        <is>
          <t>SATE-NET-010</t>
        </is>
      </c>
      <c r="B24" s="24" t="inlineStr">
        <is>
          <t>In scope</t>
        </is>
      </c>
      <c r="C24" s="25" t="inlineStr">
        <is>
          <t>Use the recorder's retry, or the web app's Retry control.</t>
        </is>
      </c>
      <c r="D24" s="9" t="inlineStr">
        <is>
          <t>Both</t>
        </is>
      </c>
      <c r="E24" s="24" t="inlineStr">
        <is>
          <t>Tester + Engineer</t>
        </is>
      </c>
      <c r="F24" s="25" t="inlineStr">
        <is>
          <t>Recorder · phone · browser + Supabase read access</t>
        </is>
      </c>
      <c r="G24" s="24" t="inlineStr">
        <is>
          <t>Network, Offline, and Upload Recovery</t>
        </is>
      </c>
      <c r="H24" s="25" t="inlineStr">
        <is>
          <t>User taps manual Retry while automatic retry is already running</t>
        </is>
      </c>
      <c r="I24" s="24" t="inlineStr">
        <is>
          <t>P0</t>
        </is>
      </c>
      <c r="J24" s="24" t="inlineStr">
        <is>
          <t>Concurrency / Idempotency</t>
        </is>
      </c>
      <c r="K24" s="25" t="inlineStr">
        <is>
          <t>RQ-03, RQ-09, RQ-13</t>
        </is>
      </c>
      <c r="L24" s="9" t="n">
        <v>3</v>
      </c>
      <c r="M24" s="25" t="inlineStr">
        <is>
          <t>RQ-09, RQ-13</t>
        </is>
      </c>
      <c r="N24" s="25" t="inlineStr">
        <is>
          <t>SATE Mobile App or Recorder; Upload Queue; Supabase</t>
        </is>
      </c>
      <c r="O24" s="25" t="inlineStr">
        <is>
          <t>Verify that manual and automatic retry paths cannot duplicate the upload.</t>
        </is>
      </c>
      <c r="P24" s="25" t="inlineStr">
        <is>
          <t>A retryable upload failure is present and automatic retry is scheduled or active.</t>
        </is>
      </c>
      <c r="Q24" s="25" t="inlineStr">
        <is>
          <t>5-minute failed/pending session.</t>
        </is>
      </c>
      <c r="R24" s="25" t="inlineStr">
        <is>
          <t>1. Trigger an upload failure.
2. Restore connectivity.
3. Tap Retry repeatedly while automatic retry begins.
4. Wait for final completion.
5. Inspect backend attempts and records.</t>
        </is>
      </c>
      <c r="S24" s="25" t="inlineStr">
        <is>
          <t>Only one active upload is presented to the user. Extra taps are disabled, ignored, or safely deduplicated.</t>
        </is>
      </c>
      <c r="T24" s="25" t="inlineStr">
        <is>
          <t>Multiple requests, if sent, resolve to one canonical session/object and one final processing result.</t>
        </is>
      </c>
      <c r="U24" s="25" t="inlineStr">
        <is>
          <t>Concurrent retry prevention. The user Retry route is POST /sessions/:id/retry (device-api ≥v14) and it **only accepts a session in error** — a processing row is refused, which is what stops a manual tap racing the container. claim_next_session is SELECT … FOR UPDATE SKIP LOCKED, so a double claim is impossible even if two workers ran. Confirm attempts increments by one, not two.</t>
        </is>
      </c>
      <c r="V24" s="25" t="inlineStr">
        <is>
          <t>Count upload requests, storage objects, sessions, processing jobs, and user-visible entries.</t>
        </is>
      </c>
      <c r="W24" s="25" t="inlineStr">
        <is>
          <t>Manual/automatic retry concurrency never creates a duplicate or corrupt final session.</t>
        </is>
      </c>
      <c r="X24" s="24" t="inlineStr">
        <is>
          <t>Not Run</t>
        </is>
      </c>
      <c r="Y24" s="24" t="inlineStr"/>
      <c r="Z24" s="9">
        <f>COUNTIF('Defect Log'!$C$2:$C$500,$A24)</f>
        <v/>
      </c>
      <c r="AA24" s="24" t="inlineStr"/>
      <c r="AB24" s="24" t="inlineStr"/>
      <c r="AC24" s="24" t="inlineStr"/>
      <c r="AD24" s="24" t="inlineStr"/>
    </row>
    <row r="25" ht="58" customHeight="1">
      <c r="A25" s="23" t="inlineStr">
        <is>
          <t>SATE-QUE-001</t>
        </is>
      </c>
      <c r="B25" s="24" t="inlineStr">
        <is>
          <t>In scope</t>
        </is>
      </c>
      <c r="C25" s="25" t="inlineStr"/>
      <c r="D25" s="9" t="inlineStr">
        <is>
          <t>Both</t>
        </is>
      </c>
      <c r="E25" s="24" t="inlineStr">
        <is>
          <t>Tester + Engineer</t>
        </is>
      </c>
      <c r="F25" s="25" t="inlineStr">
        <is>
          <t>Recorder · phone · browser + Supabase read access</t>
        </is>
      </c>
      <c r="G25" s="24" t="inlineStr">
        <is>
          <t>Queue, Batch, and Concurrency</t>
        </is>
      </c>
      <c r="H25" s="25" t="inlineStr">
        <is>
          <t>Five recordings made consecutively while online</t>
        </is>
      </c>
      <c r="I25" s="24" t="inlineStr">
        <is>
          <t>P0</t>
        </is>
      </c>
      <c r="J25" s="24" t="inlineStr">
        <is>
          <t>Functional / Batch</t>
        </is>
      </c>
      <c r="K25" s="25" t="inlineStr">
        <is>
          <t>RQ-03, RQ-08</t>
        </is>
      </c>
      <c r="L25" s="9" t="n">
        <v>2</v>
      </c>
      <c r="M25" s="25" t="inlineStr"/>
      <c r="N25" s="25" t="inlineStr">
        <is>
          <t>SATE Recorder; Upload Queue; Supabase; AI service</t>
        </is>
      </c>
      <c r="O25" s="25" t="inlineStr">
        <is>
          <t>Verify unique session creation and correct ordering for normal back-to-back use.</t>
        </is>
      </c>
      <c r="P25" s="25" t="inlineStr">
        <is>
          <t>Stable network; no pending sessions.</t>
        </is>
      </c>
      <c r="Q25" s="25" t="inlineStr">
        <is>
          <t>Recordings of 30 sec, 1 min, 2 min, 3 min, and 5 min, each with a unique spoken label.</t>
        </is>
      </c>
      <c r="R25" s="25" t="inlineStr">
        <is>
          <t>1. Create five recordings with less than 20 seconds between sessions.
2. Allow uploads to occur.
3. Review the queue and Web App.
4. Open each transcript.</t>
        </is>
      </c>
      <c r="S25" s="25" t="inlineStr">
        <is>
          <t>All five sessions appear once with correct order, labels, dates, and durations. Starting the next session does not overwrite the previous one.</t>
        </is>
      </c>
      <c r="T25" s="25" t="inlineStr">
        <is>
          <t>Five unique session IDs, five correct audio objects, and five result sets are created.</t>
        </is>
      </c>
      <c r="U25" s="25" t="inlineStr">
        <is>
          <t>Five rows, five distinct session_numbers, five recordings. The container drains the queue **serially** (max_instances = 1, GPU concurrency is 1 anyway), so expect sequential completion, not parallel. Total time ≈ sum of individual processing times — that is by design, not a stall.</t>
        </is>
      </c>
      <c r="V25" s="25" t="inlineStr">
        <is>
          <t>Match each audio beginning/end marker to its transcript; compare timestamps, duration, and session IDs.</t>
        </is>
      </c>
      <c r="W25" s="25" t="inlineStr">
        <is>
          <t>All five sessions complete without overwrite, merging, omission, or cross-session transcript assignment.</t>
        </is>
      </c>
      <c r="X25" s="24" t="inlineStr">
        <is>
          <t>Not Run</t>
        </is>
      </c>
      <c r="Y25" s="24" t="inlineStr"/>
      <c r="Z25" s="9">
        <f>COUNTIF('Defect Log'!$C$2:$C$500,$A25)</f>
        <v/>
      </c>
      <c r="AA25" s="24" t="inlineStr"/>
      <c r="AB25" s="24" t="inlineStr"/>
      <c r="AC25" s="24" t="inlineStr"/>
      <c r="AD25" s="24" t="inlineStr"/>
    </row>
    <row r="26" ht="58" customHeight="1">
      <c r="A26" s="23" t="inlineStr">
        <is>
          <t>SATE-QUE-002</t>
        </is>
      </c>
      <c r="B26" s="24" t="inlineStr">
        <is>
          <t>In scope</t>
        </is>
      </c>
      <c r="C26" s="25" t="inlineStr"/>
      <c r="D26" s="9" t="inlineStr">
        <is>
          <t>Both</t>
        </is>
      </c>
      <c r="E26" s="24" t="inlineStr">
        <is>
          <t>Tester + Engineer</t>
        </is>
      </c>
      <c r="F26" s="25" t="inlineStr">
        <is>
          <t>Recorder · phone · browser + Supabase read access</t>
        </is>
      </c>
      <c r="G26" s="24" t="inlineStr">
        <is>
          <t>Queue, Batch, and Concurrency</t>
        </is>
      </c>
      <c r="H26" s="25" t="inlineStr">
        <is>
          <t>Start a new recording while the previous session is uploading</t>
        </is>
      </c>
      <c r="I26" s="24" t="inlineStr">
        <is>
          <t>P0</t>
        </is>
      </c>
      <c r="J26" s="24" t="inlineStr">
        <is>
          <t>Concurrency / Functional</t>
        </is>
      </c>
      <c r="K26" s="25" t="inlineStr">
        <is>
          <t>RQ-03, RQ-08, RQ-10</t>
        </is>
      </c>
      <c r="L26" s="9" t="n">
        <v>3</v>
      </c>
      <c r="M26" s="25" t="inlineStr"/>
      <c r="N26" s="25" t="inlineStr">
        <is>
          <t>SATE Recorder; Upload Queue; Local Storage; Supabase</t>
        </is>
      </c>
      <c r="O26" s="25" t="inlineStr">
        <is>
          <t>Verify simultaneous recording and background upload, or correct prevention if unsupported.</t>
        </is>
      </c>
      <c r="P26" s="25" t="inlineStr">
        <is>
          <t>Session A is uploading; recorder is ready for another action.</t>
        </is>
      </c>
      <c r="Q26" s="25" t="inlineStr">
        <is>
          <t>Session A: 10 minutes; Session B: 2 minutes.</t>
        </is>
      </c>
      <c r="R26" s="25" t="inlineStr">
        <is>
          <t>1. Start uploading Session A.
2. Attempt to start Session B.
3. Complete Session B.
4. Wait for both sessions to finish.
5. Review results.</t>
        </is>
      </c>
      <c r="S26" s="25" t="inlineStr">
        <is>
          <t>The UI follows the documented rule: either allows Session B safely or clearly blocks it. If allowed, statuses remain distinct.</t>
        </is>
      </c>
      <c r="T26" s="25" t="inlineStr">
        <is>
          <t>Sessions A and B retain unique IDs, files, statuses, and processing jobs.</t>
        </is>
      </c>
      <c r="U26" s="25" t="inlineStr">
        <is>
          <t>A new take must not disturb an in-flight upload. Note the delete/upload interaction rule: a delete defers-and-drops the uploader **only if it is latched on that exact session** (upDropReq); any other session's upload is untouched.</t>
        </is>
      </c>
      <c r="V26" s="25" t="inlineStr">
        <is>
          <t>Verify no audio mixing, file overwrite, shared session ID, or status crossover.</t>
        </is>
      </c>
      <c r="W26" s="25" t="inlineStr">
        <is>
          <t>Both sessions are handled correctly according to the documented concurrency requirement.</t>
        </is>
      </c>
      <c r="X26" s="24" t="inlineStr">
        <is>
          <t>Not Run</t>
        </is>
      </c>
      <c r="Y26" s="24" t="inlineStr"/>
      <c r="Z26" s="9">
        <f>COUNTIF('Defect Log'!$C$2:$C$500,$A26)</f>
        <v/>
      </c>
      <c r="AA26" s="24" t="inlineStr"/>
      <c r="AB26" s="24" t="inlineStr"/>
      <c r="AC26" s="24" t="inlineStr"/>
      <c r="AD26" s="24" t="inlineStr"/>
    </row>
    <row r="27" ht="58" customHeight="1">
      <c r="A27" s="23" t="inlineStr">
        <is>
          <t>SATE-QUE-003</t>
        </is>
      </c>
      <c r="B27" s="24" t="inlineStr">
        <is>
          <t>In scope</t>
        </is>
      </c>
      <c r="C27" s="25" t="inlineStr"/>
      <c r="D27" s="9" t="inlineStr">
        <is>
          <t>Both</t>
        </is>
      </c>
      <c r="E27" s="24" t="inlineStr">
        <is>
          <t>Tester + Engineer</t>
        </is>
      </c>
      <c r="F27" s="25" t="inlineStr">
        <is>
          <t>Recorder · phone · browser + Supabase read access</t>
        </is>
      </c>
      <c r="G27" s="24" t="inlineStr">
        <is>
          <t>Queue, Batch, and Concurrency</t>
        </is>
      </c>
      <c r="H27" s="25" t="inlineStr">
        <is>
          <t>Five offline recordings queued and uploaded later</t>
        </is>
      </c>
      <c r="I27" s="24" t="inlineStr">
        <is>
          <t>P0</t>
        </is>
      </c>
      <c r="J27" s="24" t="inlineStr">
        <is>
          <t>Offline / Batch</t>
        </is>
      </c>
      <c r="K27" s="25" t="inlineStr">
        <is>
          <t>RQ-04, RQ-08, RQ-10</t>
        </is>
      </c>
      <c r="L27" s="9" t="n">
        <v>3</v>
      </c>
      <c r="M27" s="25" t="inlineStr"/>
      <c r="N27" s="25" t="inlineStr">
        <is>
          <t>SATE Recorder; Local Storage; Upload Queue; Supabase</t>
        </is>
      </c>
      <c r="O27" s="25" t="inlineStr">
        <is>
          <t>Verify durable multi-session queueing.</t>
        </is>
      </c>
      <c r="P27" s="25" t="inlineStr">
        <is>
          <t>Device is offline and has sufficient storage.</t>
        </is>
      </c>
      <c r="Q27" s="25" t="inlineStr">
        <is>
          <t>Five recordings with unique labels and varying lengths.</t>
        </is>
      </c>
      <c r="R27" s="25" t="inlineStr">
        <is>
          <t>1. Disable Internet.
2. Record five sessions.
3. Restart the recorder/app once while still offline.
4. Confirm all five remain queued.
5. Restore Internet.
6. Wait for all sessions to complete.</t>
        </is>
      </c>
      <c r="S27" s="25" t="inlineStr">
        <is>
          <t>All five queued sessions remain visible after restart and later upload. Progress/status is shown per session.</t>
        </is>
      </c>
      <c r="T27" s="25" t="inlineStr">
        <is>
          <t>Five unique sessions and five complete audio objects are committed. Queue entries are removed only after acknowledgement.</t>
        </is>
      </c>
      <c r="U27" s="25" t="inlineStr">
        <is>
          <t>Five queued rows appear on reconnect. Order is by created_at; the claim query is status='queued' order by created_at. Session numbers must be distinct and none reused.</t>
        </is>
      </c>
      <c r="V27" s="25" t="inlineStr">
        <is>
          <t>Check queue persistence, upload order, session count, audio/transcript mapping, and no duplicates.</t>
        </is>
      </c>
      <c r="W27" s="25" t="inlineStr">
        <is>
          <t>No queued session is lost, merged, duplicated, or indefinitely blocked.</t>
        </is>
      </c>
      <c r="X27" s="24" t="inlineStr">
        <is>
          <t>Not Run</t>
        </is>
      </c>
      <c r="Y27" s="24" t="inlineStr"/>
      <c r="Z27" s="9">
        <f>COUNTIF('Defect Log'!$C$2:$C$500,$A27)</f>
        <v/>
      </c>
      <c r="AA27" s="24" t="inlineStr"/>
      <c r="AB27" s="24" t="inlineStr"/>
      <c r="AC27" s="24" t="inlineStr"/>
      <c r="AD27" s="24" t="inlineStr"/>
    </row>
    <row r="28" ht="58" customHeight="1">
      <c r="A28" s="23" t="inlineStr">
        <is>
          <t>SATE-QUE-004</t>
        </is>
      </c>
      <c r="B28" s="24" t="inlineStr">
        <is>
          <t>In scope</t>
        </is>
      </c>
      <c r="C28" s="25" t="inlineStr"/>
      <c r="D28" s="9" t="inlineStr">
        <is>
          <t>Both</t>
        </is>
      </c>
      <c r="E28" s="24" t="inlineStr">
        <is>
          <t>Tester + Engineer</t>
        </is>
      </c>
      <c r="F28" s="25" t="inlineStr">
        <is>
          <t>Recorder · phone · browser + Supabase read access</t>
        </is>
      </c>
      <c r="G28" s="24" t="inlineStr">
        <is>
          <t>Queue, Batch, and Concurrency</t>
        </is>
      </c>
      <c r="H28" s="25" t="inlineStr">
        <is>
          <t>One queued session fails while later sessions continue</t>
        </is>
      </c>
      <c r="I28" s="24" t="inlineStr">
        <is>
          <t>P0</t>
        </is>
      </c>
      <c r="J28" s="24" t="inlineStr">
        <is>
          <t>Reliability / Fault Isolation</t>
        </is>
      </c>
      <c r="K28" s="25" t="inlineStr">
        <is>
          <t>RQ-08, RQ-11, RQ-13</t>
        </is>
      </c>
      <c r="L28" s="9" t="n">
        <v>3</v>
      </c>
      <c r="M28" s="25" t="inlineStr">
        <is>
          <t>RQ-11, RQ-13</t>
        </is>
      </c>
      <c r="N28" s="25" t="inlineStr">
        <is>
          <t>Upload Queue; Supabase; AI service</t>
        </is>
      </c>
      <c r="O28" s="25" t="inlineStr">
        <is>
          <t>Verify that a single bad item does not block the entire queue.</t>
        </is>
      </c>
      <c r="P28" s="25" t="inlineStr">
        <is>
          <t>At least three sessions are queued; a fault can be injected for Session 2.</t>
        </is>
      </c>
      <c r="Q28" s="25" t="inlineStr">
        <is>
          <t>Three queued sessions; cause Session 2 upload or processing to fail.</t>
        </is>
      </c>
      <c r="R28" s="25" t="inlineStr">
        <is>
          <t>1. Queue Sessions 1-3.
2. Inject a failure for Session 2.
3. Restore normal service.
4. Observe Sessions 1 and 3.
5. Retry Session 2.</t>
        </is>
      </c>
      <c r="S28" s="25" t="inlineStr">
        <is>
          <t>Each session shows its own status. Failure of Session 2 does not hide or freeze Sessions 1 and 3.</t>
        </is>
      </c>
      <c r="T28" s="25" t="inlineStr">
        <is>
          <t>Sessions 1 and 3 reach Completed. Session 2 reaches a defined failed/retryable state and can later complete without duplication.</t>
        </is>
      </c>
      <c r="U28" s="25" t="inlineStr">
        <is>
          <t>Per-item fault isolation. One row going to error must not block the others — verify the remaining four reach done. pg_cron pings the Worker /tick every minute to keep the container warm; if everything stalls together, check the container is awake before blaming the queue.</t>
        </is>
      </c>
      <c r="V28" s="25" t="inlineStr">
        <is>
          <t>Verify per-session attempt counts, queue progression, final session count, and audio mapping.</t>
        </is>
      </c>
      <c r="W28" s="25" t="inlineStr">
        <is>
          <t>Queue processing is fault-isolated and recoverable.</t>
        </is>
      </c>
      <c r="X28" s="24" t="inlineStr">
        <is>
          <t>Not Run</t>
        </is>
      </c>
      <c r="Y28" s="24" t="inlineStr"/>
      <c r="Z28" s="9">
        <f>COUNTIF('Defect Log'!$C$2:$C$500,$A28)</f>
        <v/>
      </c>
      <c r="AA28" s="24" t="inlineStr"/>
      <c r="AB28" s="24" t="inlineStr"/>
      <c r="AC28" s="24" t="inlineStr"/>
      <c r="AD28" s="24" t="inlineStr"/>
    </row>
    <row r="29" ht="58" customHeight="1">
      <c r="A29" s="23" t="inlineStr">
        <is>
          <t>SATE-QUE-005</t>
        </is>
      </c>
      <c r="B29" s="24" t="inlineStr">
        <is>
          <t>In scope</t>
        </is>
      </c>
      <c r="C29" s="25" t="inlineStr">
        <is>
          <t>Restart the recorder, not the app.</t>
        </is>
      </c>
      <c r="D29" s="9" t="inlineStr">
        <is>
          <t>Both</t>
        </is>
      </c>
      <c r="E29" s="24" t="inlineStr">
        <is>
          <t>Tester + Engineer</t>
        </is>
      </c>
      <c r="F29" s="25" t="inlineStr">
        <is>
          <t>Recorder · phone · browser + Supabase read access</t>
        </is>
      </c>
      <c r="G29" s="24" t="inlineStr">
        <is>
          <t>Queue, Batch, and Concurrency</t>
        </is>
      </c>
      <c r="H29" s="25" t="inlineStr">
        <is>
          <t>Queue order and status persist across app/recorder restart</t>
        </is>
      </c>
      <c r="I29" s="24" t="inlineStr">
        <is>
          <t>P0</t>
        </is>
      </c>
      <c r="J29" s="24" t="inlineStr">
        <is>
          <t>Recovery / Batch</t>
        </is>
      </c>
      <c r="K29" s="25" t="inlineStr">
        <is>
          <t>RQ-08, RQ-10</t>
        </is>
      </c>
      <c r="L29" s="9" t="n">
        <v>2</v>
      </c>
      <c r="M29" s="25" t="inlineStr"/>
      <c r="N29" s="25" t="inlineStr">
        <is>
          <t>SATE Recorder or Mobile App; Upload Queue</t>
        </is>
      </c>
      <c r="O29" s="25" t="inlineStr">
        <is>
          <t>Verify durable queue state and deterministic resumption.</t>
        </is>
      </c>
      <c r="P29" s="25" t="inlineStr">
        <is>
          <t>Several sessions are Pending, Uploading, and Failed/Retryable.</t>
        </is>
      </c>
      <c r="Q29" s="25" t="inlineStr">
        <is>
          <t>Three or more sessions in different queue states.</t>
        </is>
      </c>
      <c r="R29" s="25" t="inlineStr">
        <is>
          <t>1. Create mixed queue states.
2. Restart the recorder/app.
3. Inspect order and statuses.
4. Restore connectivity/service.
5. Observe resumption.</t>
        </is>
      </c>
      <c r="S29" s="25" t="inlineStr">
        <is>
          <t>All queue entries reappear with correct identities and understandable statuses.</t>
        </is>
      </c>
      <c r="T29" s="25" t="inlineStr">
        <is>
          <t>Queue metadata is restored. No entry is silently dropped or duplicated; final states are consistent.</t>
        </is>
      </c>
      <c r="U29" s="25" t="inlineStr">
        <is>
          <t>Queue state lives in Supabase, not in the app or the container — a restart of either must resume from the database. The container has no state to lose.</t>
        </is>
      </c>
      <c r="V29" s="25" t="inlineStr">
        <is>
          <t>Compare queue entries before/after restart, session IDs, attempt counts, and final records.</t>
        </is>
      </c>
      <c r="W29" s="25" t="inlineStr">
        <is>
          <t>Restart does not alter session identity, lose queue entries, or create duplicate uploads.</t>
        </is>
      </c>
      <c r="X29" s="24" t="inlineStr">
        <is>
          <t>Not Run</t>
        </is>
      </c>
      <c r="Y29" s="24" t="inlineStr"/>
      <c r="Z29" s="9">
        <f>COUNTIF('Defect Log'!$C$2:$C$500,$A29)</f>
        <v/>
      </c>
      <c r="AA29" s="24" t="inlineStr"/>
      <c r="AB29" s="24" t="inlineStr"/>
      <c r="AC29" s="24" t="inlineStr"/>
      <c r="AD29" s="24" t="inlineStr"/>
    </row>
    <row r="30" ht="58" customHeight="1">
      <c r="A30" s="26" t="inlineStr">
        <is>
          <t>SATE-QUE-006</t>
        </is>
      </c>
      <c r="B30" s="26" t="inlineStr">
        <is>
          <t>Deferred - mobile app</t>
        </is>
      </c>
      <c r="C30" s="27" t="inlineStr">
        <is>
          <t>This case exists to prove the two delivery paths deduplicate. With the mobile app out of scope there is only one path in use, so the duplicate-session risk cannot materialise — but the gap it was written to catch (no database unique constraint behind the dedup probe) stays unproven. Run it before the app ships.</t>
        </is>
      </c>
      <c r="D30" s="28" t="inlineStr">
        <is>
          <t>Both</t>
        </is>
      </c>
      <c r="E30" s="26" t="inlineStr">
        <is>
          <t>Tester + Engineer</t>
        </is>
      </c>
      <c r="F30" s="27" t="inlineStr">
        <is>
          <t>Recorder · phone · browser + Supabase read access · Ability to force both the direct Wi-Fi and phone-bridged upload paths</t>
        </is>
      </c>
      <c r="G30" s="26" t="inlineStr">
        <is>
          <t>Queue, Batch, and Concurrency</t>
        </is>
      </c>
      <c r="H30" s="27" t="inlineStr">
        <is>
          <t>Same recording reaches backend through direct Wi-Fi and mobile-app paths</t>
        </is>
      </c>
      <c r="I30" s="26" t="inlineStr">
        <is>
          <t>P0</t>
        </is>
      </c>
      <c r="J30" s="26" t="inlineStr">
        <is>
          <t>Architecture / Idempotency</t>
        </is>
      </c>
      <c r="K30" s="27" t="inlineStr">
        <is>
          <t>RQ-03, RQ-21</t>
        </is>
      </c>
      <c r="L30" s="28" t="n">
        <v>2</v>
      </c>
      <c r="M30" s="27" t="inlineStr">
        <is>
          <t>RQ-21</t>
        </is>
      </c>
      <c r="N30" s="27" t="inlineStr">
        <is>
          <t>SATE Recorder; SATE Mobile App; Supabase; Edge Functions</t>
        </is>
      </c>
      <c r="O30" s="27" t="inlineStr">
        <is>
          <t>Verify deduplication when both supported data paths attempt to sync the same source recording.</t>
        </is>
      </c>
      <c r="P30" s="27" t="inlineStr">
        <is>
          <t>Direct Wi-Fi and BLE/mobile paths are both enabled for the same test recording, or the condition can be simulated.</t>
        </is>
      </c>
      <c r="Q30" s="27" t="inlineStr">
        <is>
          <t>One uniquely labeled 5-minute recording.</t>
        </is>
      </c>
      <c r="R30" s="27" t="inlineStr">
        <is>
          <t>1. Create one recording.
2. Trigger/allow both direct Wi-Fi and mobile-app sync paths.
3. Wait for all requests to finish.
4. Inspect backend and Web App.</t>
        </is>
      </c>
      <c r="S30" s="27" t="inlineStr">
        <is>
          <t>The user sees one session only. Any duplicate-path message is clear and non-blocking.</t>
        </is>
      </c>
      <c r="T30" s="27" t="inlineStr">
        <is>
          <t>Backend identifies the same source recording and commits one canonical session/audio/result. Duplicate transport attempts are linked or rejected safely.</t>
        </is>
      </c>
      <c r="U30" s="27" t="inlineStr">
        <is>
          <t>**The highest-risk case in the book.** Two paths can deliver one recording: the recorder's device-key POST /sessions and the phone's user-authed POST /sessions (used for Plaud and BLE-bridged takes, which have no device key). Dedup relies on storeSessionRecord's probe by (user, serial, patient, session_number, bytes) + objectExists. ⚠️ **No unique constraint backs it.** If both paths run for one recording, expect this to be where a duplicate canonical session appears — a release blocker by the workbook's own severity rules. Test it deliberately and record the outcome against RQ-21.</t>
        </is>
      </c>
      <c r="V30" s="27" t="inlineStr">
        <is>
          <t>Compare source recording ID, idempotency key, session/object/job counts, and final transcript.</t>
        </is>
      </c>
      <c r="W30" s="27" t="inlineStr">
        <is>
          <t>Dual-path delivery never creates duplicate sessions, conflicting metadata, or double processing.</t>
        </is>
      </c>
      <c r="X30" s="26" t="inlineStr">
        <is>
          <t>Not Run</t>
        </is>
      </c>
      <c r="Y30" s="26" t="inlineStr"/>
      <c r="Z30" s="28">
        <f>COUNTIF('Defect Log'!$C$2:$C$500,$A30)</f>
        <v/>
      </c>
      <c r="AA30" s="26" t="inlineStr"/>
      <c r="AB30" s="26" t="inlineStr"/>
      <c r="AC30" s="26" t="inlineStr"/>
      <c r="AD30" s="26" t="inlineStr"/>
    </row>
    <row r="31" ht="58" customHeight="1">
      <c r="A31" s="23" t="inlineStr">
        <is>
          <t>SATE-LONG-001</t>
        </is>
      </c>
      <c r="B31" s="24" t="inlineStr">
        <is>
          <t>In scope</t>
        </is>
      </c>
      <c r="C31" s="25" t="inlineStr"/>
      <c r="D31" s="9" t="inlineStr">
        <is>
          <t>Both</t>
        </is>
      </c>
      <c r="E31" s="24" t="inlineStr">
        <is>
          <t>Tester + Engineer</t>
        </is>
      </c>
      <c r="F31" s="25" t="inlineStr">
        <is>
          <t>Recorder · phone · browser + Supabase read access</t>
        </is>
      </c>
      <c r="G31" s="24" t="inlineStr">
        <is>
          <t>Long Session and Performance</t>
        </is>
      </c>
      <c r="H31" s="25" t="inlineStr">
        <is>
          <t>Recording at the 30-minute boundary</t>
        </is>
      </c>
      <c r="I31" s="24" t="inlineStr">
        <is>
          <t>P0</t>
        </is>
      </c>
      <c r="J31" s="24" t="inlineStr">
        <is>
          <t>Boundary / Performance</t>
        </is>
      </c>
      <c r="K31" s="25" t="inlineStr">
        <is>
          <t>RQ-07, RQ-20</t>
        </is>
      </c>
      <c r="L31" s="9" t="n">
        <v>2</v>
      </c>
      <c r="M31" s="25" t="inlineStr">
        <is>
          <t>RQ-07, RQ-20</t>
        </is>
      </c>
      <c r="N31" s="25" t="inlineStr">
        <is>
          <t>SATE Recorder; Local Storage; Upload; AI service; Web App</t>
        </is>
      </c>
      <c r="O31" s="25" t="inlineStr">
        <is>
          <t>Verify behavior at the stated long-session threshold.</t>
        </is>
      </c>
      <c r="P31" s="25" t="inlineStr">
        <is>
          <t>Device is fully charged with sufficient storage and stable network.</t>
        </is>
      </c>
      <c r="Q31" s="25" t="inlineStr">
        <is>
          <t>Exactly 30-minute session with beginning, midpoint, and end markers.</t>
        </is>
      </c>
      <c r="R31" s="25" t="inlineStr">
        <is>
          <t>1. Record exactly 30 minutes.
2. Stop and sync.
3. Wait for processing.
4. Review audio, transcript, annotations, and PDF.</t>
        </is>
      </c>
      <c r="S31" s="25" t="inlineStr">
        <is>
          <t>No timeout, crash, or unexplained warning occurs at the boundary. Progress remains responsive.</t>
        </is>
      </c>
      <c r="T31" s="25" t="inlineStr">
        <is>
          <t>One complete audio object and result set are created within the documented SLA.</t>
        </is>
      </c>
      <c r="U31" s="25" t="inlineStr">
        <is>
          <t>A 30-minute 16 kHz mono take is ~57 MB. Confirm it lands whole.</t>
        </is>
      </c>
      <c r="V31" s="25" t="inlineStr">
        <is>
          <t>Check complete duration, all spoken markers, file size, memory/error logs, transcript coverage, and PDF pagination.</t>
        </is>
      </c>
      <c r="W31" s="25" t="inlineStr">
        <is>
          <t>The complete 30-minute session is preserved, processed, reviewed, and exported successfully.</t>
        </is>
      </c>
      <c r="X31" s="24" t="inlineStr">
        <is>
          <t>Not Run</t>
        </is>
      </c>
      <c r="Y31" s="24" t="inlineStr"/>
      <c r="Z31" s="9">
        <f>COUNTIF('Defect Log'!$C$2:$C$500,$A31)</f>
        <v/>
      </c>
      <c r="AA31" s="24" t="inlineStr"/>
      <c r="AB31" s="24" t="inlineStr"/>
      <c r="AC31" s="24" t="inlineStr"/>
      <c r="AD31" s="24" t="inlineStr"/>
    </row>
    <row r="32" ht="58" customHeight="1">
      <c r="A32" s="23" t="inlineStr">
        <is>
          <t>SATE-LONG-002</t>
        </is>
      </c>
      <c r="B32" s="24" t="inlineStr">
        <is>
          <t>In scope</t>
        </is>
      </c>
      <c r="C32" s="25" t="inlineStr"/>
      <c r="D32" s="9" t="inlineStr">
        <is>
          <t>Both</t>
        </is>
      </c>
      <c r="E32" s="24" t="inlineStr">
        <is>
          <t>Tester + Engineer</t>
        </is>
      </c>
      <c r="F32" s="25" t="inlineStr">
        <is>
          <t>Recorder · phone · browser + Supabase read access</t>
        </is>
      </c>
      <c r="G32" s="24" t="inlineStr">
        <is>
          <t>Long Session and Performance</t>
        </is>
      </c>
      <c r="H32" s="25" t="inlineStr">
        <is>
          <t>Forty-five-minute recording</t>
        </is>
      </c>
      <c r="I32" s="24" t="inlineStr">
        <is>
          <t>P0</t>
        </is>
      </c>
      <c r="J32" s="24" t="inlineStr">
        <is>
          <t>Performance / End-to-End</t>
        </is>
      </c>
      <c r="K32" s="25" t="inlineStr">
        <is>
          <t>RQ-07, RQ-20</t>
        </is>
      </c>
      <c r="L32" s="9" t="n">
        <v>2</v>
      </c>
      <c r="M32" s="25" t="inlineStr">
        <is>
          <t>RQ-07, RQ-20</t>
        </is>
      </c>
      <c r="N32" s="25" t="inlineStr">
        <is>
          <t>SATE Recorder; Supabase; AI service; Web App</t>
        </is>
      </c>
      <c r="O32" s="25" t="inlineStr">
        <is>
          <t>Verify a realistic extended clinical session.</t>
        </is>
      </c>
      <c r="P32" s="25" t="inlineStr">
        <is>
          <t>Battery, storage, and network are sufficient.</t>
        </is>
      </c>
      <c r="Q32" s="25" t="inlineStr">
        <is>
          <t>45-minute recording with markers every 10 minutes.</t>
        </is>
      </c>
      <c r="R32" s="25" t="inlineStr">
        <is>
          <t>1. Record 45 minutes.
2. Stop and sync.
3. Monitor upload and processing time.
4. Review all markers in audio/transcript.
5. Export PDF.</t>
        </is>
      </c>
      <c r="S32" s="25" t="inlineStr">
        <is>
          <t>Device/app remains responsive. The Web App can load and navigate the long transcript.</t>
        </is>
      </c>
      <c r="T32" s="25" t="inlineStr">
        <is>
          <t>Audio upload and processing complete without chunk loss, duplicate jobs, or timeout beyond the documented policy.</t>
        </is>
      </c>
      <c r="U32" s="25" t="inlineStr">
        <is>
          <t>~86 MB. Watch the Storage limit: **the project-wide file size limit overrides the bucket's** and defaults to 50 MB. It is set to 500 MB now, but if long sessions land as rows with process_error: "download failed: Object not found", check that setting first — a swallowed 413 plus a .synced written on a false 2xx destroyed a 62-minute recording once. storeSessionRecord now throws on upload failure rather than swallowing it.</t>
        </is>
      </c>
      <c r="V32" s="25" t="inlineStr">
        <is>
          <t>Validate duration, all interval markers, file integrity, transcript continuity, processing time, and PDF pagination.</t>
        </is>
      </c>
      <c r="W32" s="25" t="inlineStr">
        <is>
          <t>All content is complete and usable with no resource-related failure.</t>
        </is>
      </c>
      <c r="X32" s="24" t="inlineStr">
        <is>
          <t>Not Run</t>
        </is>
      </c>
      <c r="Y32" s="24" t="inlineStr"/>
      <c r="Z32" s="9">
        <f>COUNTIF('Defect Log'!$C$2:$C$500,$A32)</f>
        <v/>
      </c>
      <c r="AA32" s="24" t="inlineStr"/>
      <c r="AB32" s="24" t="inlineStr"/>
      <c r="AC32" s="24" t="inlineStr"/>
      <c r="AD32" s="24" t="inlineStr"/>
    </row>
    <row r="33" ht="58" customHeight="1">
      <c r="A33" s="23" t="inlineStr">
        <is>
          <t>SATE-LONG-003</t>
        </is>
      </c>
      <c r="B33" s="24" t="inlineStr">
        <is>
          <t>In scope</t>
        </is>
      </c>
      <c r="C33" s="25" t="inlineStr"/>
      <c r="D33" s="9" t="inlineStr">
        <is>
          <t>Both</t>
        </is>
      </c>
      <c r="E33" s="24" t="inlineStr">
        <is>
          <t>Tester + Engineer</t>
        </is>
      </c>
      <c r="F33" s="25" t="inlineStr">
        <is>
          <t>Recorder · phone · browser + Supabase read access</t>
        </is>
      </c>
      <c r="G33" s="24" t="inlineStr">
        <is>
          <t>Long Session and Performance</t>
        </is>
      </c>
      <c r="H33" s="25" t="inlineStr">
        <is>
          <t>Maximum supported recording duration</t>
        </is>
      </c>
      <c r="I33" s="24" t="inlineStr">
        <is>
          <t>P0</t>
        </is>
      </c>
      <c r="J33" s="24" t="inlineStr">
        <is>
          <t>Boundary / Performance</t>
        </is>
      </c>
      <c r="K33" s="25" t="inlineStr">
        <is>
          <t>RQ-07, RQ-20</t>
        </is>
      </c>
      <c r="L33" s="9" t="n">
        <v>2</v>
      </c>
      <c r="M33" s="25" t="inlineStr">
        <is>
          <t>RQ-07, RQ-20</t>
        </is>
      </c>
      <c r="N33" s="25" t="inlineStr">
        <is>
          <t>SATE Recorder; Local Storage; Backend</t>
        </is>
      </c>
      <c r="O33" s="25" t="inlineStr">
        <is>
          <t>Verify the documented maximum duration and user warning behavior.</t>
        </is>
      </c>
      <c r="P33" s="25" t="inlineStr">
        <is>
          <t>Maximum duration is confirmed by product/engineering.</t>
        </is>
      </c>
      <c r="Q33" s="25" t="inlineStr">
        <is>
          <t>Session at the maximum duration and, if safe, an attempt to exceed it.</t>
        </is>
      </c>
      <c r="R33" s="25" t="inlineStr">
        <is>
          <t>1. Record until the maximum duration.
2. Observe warning or automatic stop behavior.
3. Attempt to continue if allowed.
4. Sync and review.</t>
        </is>
      </c>
      <c r="S33" s="25" t="inlineStr">
        <is>
          <t>The recorder warns before the limit and safely stops or blocks additional recording according to requirement.</t>
        </is>
      </c>
      <c r="T33" s="25" t="inlineStr">
        <is>
          <t>One valid session is created with no truncated container or invalid duration metadata.</t>
        </is>
      </c>
      <c r="U33" s="25" t="inlineStr">
        <is>
          <t>The firmware ceiling is ~62 minutes (~118 MB). Beyond the storage limit above, note the timeout tension: AI_READ_TIMEOUT_S is 3600 s (60 min) while STUCK_MINUTES is 45 — a single legitimate AI read can outlive the stale cutoff. The watchdog only fires *between* jobs (the loop is blocked inside process()), so this is safe in practice, but a job that does get reclaimed mid-run on a maximum-length take is the signature to watch for.</t>
        </is>
      </c>
      <c r="V33" s="25" t="inlineStr">
        <is>
          <t>Check final duration, end marker, file readability, status, and absence of a second unintended session.</t>
        </is>
      </c>
      <c r="W33" s="25" t="inlineStr">
        <is>
          <t>Maximum-duration behavior is predictable, safe, and fully documented.</t>
        </is>
      </c>
      <c r="X33" s="24" t="inlineStr">
        <is>
          <t>Not Run</t>
        </is>
      </c>
      <c r="Y33" s="24" t="inlineStr"/>
      <c r="Z33" s="9">
        <f>COUNTIF('Defect Log'!$C$2:$C$500,$A33)</f>
        <v/>
      </c>
      <c r="AA33" s="24" t="inlineStr"/>
      <c r="AB33" s="24" t="inlineStr"/>
      <c r="AC33" s="24" t="inlineStr"/>
      <c r="AD33" s="24" t="inlineStr"/>
    </row>
    <row r="34" ht="58" customHeight="1">
      <c r="A34" s="23" t="inlineStr">
        <is>
          <t>SATE-LONG-004</t>
        </is>
      </c>
      <c r="B34" s="24" t="inlineStr">
        <is>
          <t>In scope</t>
        </is>
      </c>
      <c r="C34" s="25" t="inlineStr">
        <is>
          <t>Run the recorder's direct Wi-Fi upload path.</t>
        </is>
      </c>
      <c r="D34" s="9" t="inlineStr">
        <is>
          <t>Both</t>
        </is>
      </c>
      <c r="E34" s="24" t="inlineStr">
        <is>
          <t>Tester + Engineer</t>
        </is>
      </c>
      <c r="F34" s="25" t="inlineStr">
        <is>
          <t>Recorder · phone · browser + Supabase read access</t>
        </is>
      </c>
      <c r="G34" s="24" t="inlineStr">
        <is>
          <t>Long Session and Performance</t>
        </is>
      </c>
      <c r="H34" s="25" t="inlineStr">
        <is>
          <t>Long-session upload interrupted and resumed</t>
        </is>
      </c>
      <c r="I34" s="24" t="inlineStr">
        <is>
          <t>P0</t>
        </is>
      </c>
      <c r="J34" s="24" t="inlineStr">
        <is>
          <t>Recovery / Performance</t>
        </is>
      </c>
      <c r="K34" s="25" t="inlineStr">
        <is>
          <t>RQ-09, RQ-10, RQ-20</t>
        </is>
      </c>
      <c r="L34" s="9" t="n">
        <v>3</v>
      </c>
      <c r="M34" s="25" t="inlineStr">
        <is>
          <t>RQ-09, RQ-20</t>
        </is>
      </c>
      <c r="N34" s="25" t="inlineStr">
        <is>
          <t>SATE Recorder or Mobile App; Upload Queue; Supabase Storage</t>
        </is>
      </c>
      <c r="O34" s="25" t="inlineStr">
        <is>
          <t>Verify recovery for a large upload.</t>
        </is>
      </c>
      <c r="P34" s="25" t="inlineStr">
        <is>
          <t>A 45-60 minute session is saved and upload begins.</t>
        </is>
      </c>
      <c r="Q34" s="25" t="inlineStr">
        <is>
          <t>45-60 minute recording; interrupt transfer around 50%.</t>
        </is>
      </c>
      <c r="R34" s="25" t="inlineStr">
        <is>
          <t>1. Start upload.
2. Disable connectivity mid-transfer.
3. Keep offline for several minutes.
4. Restore connectivity.
5. Wait for completion and processing.</t>
        </is>
      </c>
      <c r="S34" s="25" t="inlineStr">
        <is>
          <t>Progress recovers or restarts according to the documented strategy. The user does not need to re-record.</t>
        </is>
      </c>
      <c r="T34" s="25" t="inlineStr">
        <is>
          <t>One final complete object is committed; partial chunks/objects are reconciled; processing begins only on a valid complete file.</t>
        </is>
      </c>
      <c r="U34" s="25" t="inlineStr">
        <is>
          <t>Chunked resume as NET-004, at maximum size. Verify no leftover _tmp/ parts and a byte- exact final object.</t>
        </is>
      </c>
      <c r="V34" s="25" t="inlineStr">
        <is>
          <t>Compare local/server size, checksum if available, duration, beginning/end markers, object count, and processing count.</t>
        </is>
      </c>
      <c r="W34" s="25" t="inlineStr">
        <is>
          <t>The large file completes without corruption, duplication, or permanent Uploading state.</t>
        </is>
      </c>
      <c r="X34" s="24" t="inlineStr">
        <is>
          <t>Not Run</t>
        </is>
      </c>
      <c r="Y34" s="24" t="inlineStr"/>
      <c r="Z34" s="9">
        <f>COUNTIF('Defect Log'!$C$2:$C$500,$A34)</f>
        <v/>
      </c>
      <c r="AA34" s="24" t="inlineStr"/>
      <c r="AB34" s="24" t="inlineStr"/>
      <c r="AC34" s="24" t="inlineStr"/>
      <c r="AD34" s="24" t="inlineStr"/>
    </row>
    <row r="35" ht="58" customHeight="1">
      <c r="A35" s="26" t="inlineStr">
        <is>
          <t>SATE-LONG-005</t>
        </is>
      </c>
      <c r="B35" s="26" t="inlineStr">
        <is>
          <t>Deferred - mobile app</t>
        </is>
      </c>
      <c r="C35" s="27" t="inlineStr">
        <is>
          <t>Phone lock and app backgrounding during a long recording. The recorder records standalone over Wi-Fi, so nothing here applies to the in-scope path.</t>
        </is>
      </c>
      <c r="D35" s="28" t="inlineStr">
        <is>
          <t>Both</t>
        </is>
      </c>
      <c r="E35" s="26" t="inlineStr">
        <is>
          <t>Tester + Engineer</t>
        </is>
      </c>
      <c r="F35" s="27" t="inlineStr">
        <is>
          <t>Recorder · phone · browser + Supabase read access</t>
        </is>
      </c>
      <c r="G35" s="26" t="inlineStr">
        <is>
          <t>Long Session and Performance</t>
        </is>
      </c>
      <c r="H35" s="27" t="inlineStr">
        <is>
          <t>Phone locks or mobile app remains in background during a long recording</t>
        </is>
      </c>
      <c r="I35" s="26" t="inlineStr">
        <is>
          <t>P0</t>
        </is>
      </c>
      <c r="J35" s="26" t="inlineStr">
        <is>
          <t>Mobile Lifecycle / Performance</t>
        </is>
      </c>
      <c r="K35" s="27" t="inlineStr">
        <is>
          <t>RQ-10, RQ-19</t>
        </is>
      </c>
      <c r="L35" s="28" t="n">
        <v>2</v>
      </c>
      <c r="M35" s="27" t="inlineStr"/>
      <c r="N35" s="27" t="inlineStr">
        <is>
          <t>SATE Mobile App; BLE Device; OS Background Services</t>
        </is>
      </c>
      <c r="O35" s="27" t="inlineStr">
        <is>
          <t>Verify supported long-running behavior under normal phone use.</t>
        </is>
      </c>
      <c r="P35" s="27" t="inlineStr">
        <is>
          <t>Mobile-app/BLЕ recording path is active; OS permissions are granted.</t>
        </is>
      </c>
      <c r="Q35" s="27" t="inlineStr">
        <is>
          <t>45-minute session; lock phone for at least 20 minutes.</t>
        </is>
      </c>
      <c r="R35" s="27" t="inlineStr">
        <is>
          <t>1. Start recording through the mobile/BLE workflow.
2. Lock phone or background app.
3. Continue the session.
4. Unlock/open app.
5. Stop, sync, and review.</t>
        </is>
      </c>
      <c r="S35" s="27" t="inlineStr">
        <is>
          <t>Recording/status tracking continues according to the supported design. The app clearly reports any disconnect and recovery.</t>
        </is>
      </c>
      <c r="T35" s="27" t="inlineStr">
        <is>
          <t>One session is created with no gaps attributable to app suspension, or the session is explicitly marked interrupted.</t>
        </is>
      </c>
      <c r="U35" s="27" t="inlineStr">
        <is>
          <t>Recorder-side this is unaffected by the phone. If the take is BLE-bridged, the phone must keep streaming — check for truncation at the moment of lock.</t>
        </is>
      </c>
      <c r="V35" s="27" t="inlineStr">
        <is>
          <t>Check BLE logs, audio markers before/during/after lock, duration, session count, and upload result.</t>
        </is>
      </c>
      <c r="W35" s="27" t="inlineStr">
        <is>
          <t>No silent gap, overwrite, crash, or false Completed state occurs.</t>
        </is>
      </c>
      <c r="X35" s="26" t="inlineStr">
        <is>
          <t>Not Run</t>
        </is>
      </c>
      <c r="Y35" s="26" t="inlineStr"/>
      <c r="Z35" s="28">
        <f>COUNTIF('Defect Log'!$C$2:$C$500,$A35)</f>
        <v/>
      </c>
      <c r="AA35" s="26" t="inlineStr"/>
      <c r="AB35" s="26" t="inlineStr"/>
      <c r="AC35" s="26" t="inlineStr"/>
      <c r="AD35" s="26" t="inlineStr"/>
    </row>
    <row r="36" ht="58" customHeight="1">
      <c r="A36" s="23" t="inlineStr">
        <is>
          <t>SATE-LONG-006</t>
        </is>
      </c>
      <c r="B36" s="24" t="inlineStr">
        <is>
          <t>In scope (reduced)</t>
        </is>
      </c>
      <c r="C36" s="25" t="inlineStr">
        <is>
          <t>Recorder battery, temperature, storage and backend processing time. Skip phone metrics.</t>
        </is>
      </c>
      <c r="D36" s="9" t="inlineStr">
        <is>
          <t>Both</t>
        </is>
      </c>
      <c r="E36" s="24" t="inlineStr">
        <is>
          <t>Tester + Engineer</t>
        </is>
      </c>
      <c r="F36" s="25" t="inlineStr">
        <is>
          <t>Recorder · phone · browser + Supabase read access</t>
        </is>
      </c>
      <c r="G36" s="24" t="inlineStr">
        <is>
          <t>Long Session and Performance</t>
        </is>
      </c>
      <c r="H36" s="25" t="inlineStr">
        <is>
          <t>Battery, temperature, memory, storage, and processing-time observation</t>
        </is>
      </c>
      <c r="I36" s="24" t="inlineStr">
        <is>
          <t>P1</t>
        </is>
      </c>
      <c r="J36" s="24" t="inlineStr">
        <is>
          <t>Performance / Reliability</t>
        </is>
      </c>
      <c r="K36" s="25" t="inlineStr">
        <is>
          <t>RQ-20</t>
        </is>
      </c>
      <c r="L36" s="9" t="n">
        <v>1</v>
      </c>
      <c r="M36" s="25" t="inlineStr">
        <is>
          <t>RQ-20</t>
        </is>
      </c>
      <c r="N36" s="25" t="inlineStr">
        <is>
          <t>SATE Recorder; Mobile App; Backend Monitoring</t>
        </is>
      </c>
      <c r="O36" s="25" t="inlineStr">
        <is>
          <t>Establish operational resource use for extended sessions.</t>
        </is>
      </c>
      <c r="P36" s="25" t="inlineStr">
        <is>
          <t>Monitoring tools/logs are available; devices begin at known battery levels.</t>
        </is>
      </c>
      <c r="Q36" s="25" t="inlineStr">
        <is>
          <t>45-60 minute recording plus upload and processing.</t>
        </is>
      </c>
      <c r="R36" s="25" t="inlineStr">
        <is>
          <t>1. Record baseline battery, free storage, memory, and temperature.
2. Run a long session.
3. Record metrics during capture, upload, and processing.
4. Note crashes, throttling, or UI lag.</t>
        </is>
      </c>
      <c r="S36" s="25" t="inlineStr">
        <is>
          <t>Device/app remains usable and provides warnings before resource exhaustion.</t>
        </is>
      </c>
      <c r="T36" s="25" t="inlineStr">
        <is>
          <t>Backend processing remains within the documented SLA and does not generate runaway retries/jobs.</t>
        </is>
      </c>
      <c r="U36" s="25" t="inlineStr">
        <is>
          <t>Observation only. Useful server-side numbers: processing_started_at → processed_at gives true processing time; attempts shows retry churn. sate infra probes every tier (auth, DB, device-api + the v15 verify route, Storage, CF worker, AI-queue state, device heartbeat).</t>
        </is>
      </c>
      <c r="V36" s="25" t="inlineStr">
        <is>
          <t>Record battery drain, temperature, memory, storage growth, upload time, processing time, and error logs.</t>
        </is>
      </c>
      <c r="W36" s="25" t="inlineStr">
        <is>
          <t>Measured resource use stays within approved limits; no crash, unsafe heating, or unbounded job execution occurs.</t>
        </is>
      </c>
      <c r="X36" s="24" t="inlineStr">
        <is>
          <t>Not Run</t>
        </is>
      </c>
      <c r="Y36" s="24" t="inlineStr"/>
      <c r="Z36" s="9">
        <f>COUNTIF('Defect Log'!$C$2:$C$500,$A36)</f>
        <v/>
      </c>
      <c r="AA36" s="24" t="inlineStr"/>
      <c r="AB36" s="24" t="inlineStr"/>
      <c r="AC36" s="24" t="inlineStr"/>
      <c r="AD36" s="24" t="inlineStr"/>
    </row>
    <row r="37" ht="58" customHeight="1">
      <c r="A37" s="26" t="inlineStr">
        <is>
          <t>SATE-BLE-001</t>
        </is>
      </c>
      <c r="B37" s="26" t="inlineStr">
        <is>
          <t>Deferred - pendant / BLE</t>
        </is>
      </c>
      <c r="C37" s="27" t="inlineStr"/>
      <c r="D37" s="28" t="inlineStr">
        <is>
          <t>End User</t>
        </is>
      </c>
      <c r="E37" s="26" t="inlineStr">
        <is>
          <t>Tester</t>
        </is>
      </c>
      <c r="F37" s="27" t="inlineStr">
        <is>
          <t>Recorder · phone · browser</t>
        </is>
      </c>
      <c r="G37" s="26" t="inlineStr">
        <is>
          <t>BLE and Device Connectivity</t>
        </is>
      </c>
      <c r="H37" s="27" t="inlineStr">
        <is>
          <t>First-time BLE pairing and device assignment</t>
        </is>
      </c>
      <c r="I37" s="26" t="inlineStr">
        <is>
          <t>P0</t>
        </is>
      </c>
      <c r="J37" s="26" t="inlineStr">
        <is>
          <t>Functional / Compatibility</t>
        </is>
      </c>
      <c r="K37" s="27" t="inlineStr">
        <is>
          <t>RQ-17, RQ-19</t>
        </is>
      </c>
      <c r="L37" s="28" t="n">
        <v>2</v>
      </c>
      <c r="M37" s="27" t="inlineStr"/>
      <c r="N37" s="27" t="inlineStr">
        <is>
          <t>SATE Mobile App; BLE Accessory; User Account</t>
        </is>
      </c>
      <c r="O37" s="27" t="inlineStr">
        <is>
          <t>Verify secure and understandable initial pairing.</t>
        </is>
      </c>
      <c r="P37" s="27" t="inlineStr">
        <is>
          <t>Bluetooth is enabled; app permissions are granted; accessory is unpaired and discoverable.</t>
        </is>
      </c>
      <c r="Q37" s="27" t="inlineStr">
        <is>
          <t>One target BLE device and one test user.</t>
        </is>
      </c>
      <c r="R37" s="27" t="inlineStr">
        <is>
          <t>1. Open device setup.
2. Scan for devices.
3. Select the target device.
4. Complete pairing.
5. Confirm device identity and run a short recording/sync.</t>
        </is>
      </c>
      <c r="S37" s="27" t="inlineStr">
        <is>
          <t>Only relevant devices are shown with distinguishable identifiers. Successful pairing and assigned user/device are clearly displayed.</t>
        </is>
      </c>
      <c r="T37" s="27" t="inlineStr">
        <is>
          <t>Device-user association is stored once and used for the resulting session.</t>
        </is>
      </c>
      <c r="U37" s="27" t="inlineStr">
        <is>
          <t>Pairing is app-side. Server-side, confirm the device row exists and is bound to the right account: select id, serial, user_id, fw, online, last_seen from sate_devices.</t>
        </is>
      </c>
      <c r="V37" s="27" t="inlineStr">
        <is>
          <t>Compare displayed identifier, physical device identifier, account assignment, and session metadata.</t>
        </is>
      </c>
      <c r="W37" s="27" t="inlineStr">
        <is>
          <t>Correct device pairs to the correct account and can complete a session without manual database correction.</t>
        </is>
      </c>
      <c r="X37" s="26" t="inlineStr">
        <is>
          <t>Not Run</t>
        </is>
      </c>
      <c r="Y37" s="26" t="inlineStr"/>
      <c r="Z37" s="28">
        <f>COUNTIF('Defect Log'!$C$2:$C$500,$A37)</f>
        <v/>
      </c>
      <c r="AA37" s="26" t="inlineStr"/>
      <c r="AB37" s="26" t="inlineStr"/>
      <c r="AC37" s="26" t="inlineStr"/>
      <c r="AD37" s="26" t="inlineStr"/>
    </row>
    <row r="38" ht="58" customHeight="1">
      <c r="A38" s="26" t="inlineStr">
        <is>
          <t>SATE-BLE-002</t>
        </is>
      </c>
      <c r="B38" s="26" t="inlineStr">
        <is>
          <t>Deferred - pendant / BLE</t>
        </is>
      </c>
      <c r="C38" s="27" t="inlineStr"/>
      <c r="D38" s="28" t="inlineStr">
        <is>
          <t>End User</t>
        </is>
      </c>
      <c r="E38" s="26" t="inlineStr">
        <is>
          <t>Tester</t>
        </is>
      </c>
      <c r="F38" s="27" t="inlineStr">
        <is>
          <t>Recorder · phone · browser</t>
        </is>
      </c>
      <c r="G38" s="26" t="inlineStr">
        <is>
          <t>BLE and Device Connectivity</t>
        </is>
      </c>
      <c r="H38" s="27" t="inlineStr">
        <is>
          <t>Automatic reconnect after mobile app restart</t>
        </is>
      </c>
      <c r="I38" s="26" t="inlineStr">
        <is>
          <t>P1</t>
        </is>
      </c>
      <c r="J38" s="26" t="inlineStr">
        <is>
          <t>Recovery</t>
        </is>
      </c>
      <c r="K38" s="27" t="inlineStr">
        <is>
          <t>RQ-19</t>
        </is>
      </c>
      <c r="L38" s="28" t="n">
        <v>1</v>
      </c>
      <c r="M38" s="27" t="inlineStr"/>
      <c r="N38" s="27" t="inlineStr">
        <is>
          <t>SATE Mobile App; BLE Accessory</t>
        </is>
      </c>
      <c r="O38" s="27" t="inlineStr">
        <is>
          <t>Verify reconnection without unnecessary re-pairing.</t>
        </is>
      </c>
      <c r="P38" s="27" t="inlineStr">
        <is>
          <t>Accessory was previously paired and is powered on nearby.</t>
        </is>
      </c>
      <c r="Q38" s="27" t="inlineStr">
        <is>
          <t>Previously paired device.</t>
        </is>
      </c>
      <c r="R38" s="27" t="inlineStr">
        <is>
          <t>1. Connect to the BLE device.
2. Close and restart the app.
3. Observe reconnection.
4. Run a short session.</t>
        </is>
      </c>
      <c r="S38" s="27" t="inlineStr">
        <is>
          <t>The app reconnects automatically or provides a clear one-tap reconnect. It does not pair to a different nearby device.</t>
        </is>
      </c>
      <c r="T38" s="27" t="inlineStr">
        <is>
          <t>Existing device association remains unchanged.</t>
        </is>
      </c>
      <c r="U38" s="27" t="inlineStr">
        <is>
          <t>No server involvement. Known pendants persist in AsyncStorage and reconnect by BLE id. Note: a notification gap while connected is **normal** — the pendant sleeps in silence (nap mode) — and must not be reported as a disconnect.</t>
        </is>
      </c>
      <c r="V38" s="27" t="inlineStr">
        <is>
          <t>Verify device ID before/after restart and session metadata.</t>
        </is>
      </c>
      <c r="W38" s="27" t="inlineStr">
        <is>
          <t>Reconnection is reliable and preserves device identity.</t>
        </is>
      </c>
      <c r="X38" s="26" t="inlineStr">
        <is>
          <t>Not Run</t>
        </is>
      </c>
      <c r="Y38" s="26" t="inlineStr"/>
      <c r="Z38" s="28">
        <f>COUNTIF('Defect Log'!$C$2:$C$500,$A38)</f>
        <v/>
      </c>
      <c r="AA38" s="26" t="inlineStr"/>
      <c r="AB38" s="26" t="inlineStr"/>
      <c r="AC38" s="26" t="inlineStr"/>
      <c r="AD38" s="26" t="inlineStr"/>
    </row>
    <row r="39" ht="58" customHeight="1">
      <c r="A39" s="26" t="inlineStr">
        <is>
          <t>SATE-BLE-003</t>
        </is>
      </c>
      <c r="B39" s="26" t="inlineStr">
        <is>
          <t>Deferred - pendant / BLE</t>
        </is>
      </c>
      <c r="C39" s="27" t="inlineStr"/>
      <c r="D39" s="28" t="inlineStr">
        <is>
          <t>End User</t>
        </is>
      </c>
      <c r="E39" s="26" t="inlineStr">
        <is>
          <t>Tester</t>
        </is>
      </c>
      <c r="F39" s="27" t="inlineStr">
        <is>
          <t>Recorder · phone · browser</t>
        </is>
      </c>
      <c r="G39" s="26" t="inlineStr">
        <is>
          <t>BLE and Device Connectivity</t>
        </is>
      </c>
      <c r="H39" s="27" t="inlineStr">
        <is>
          <t>User selects the wrong BLE device</t>
        </is>
      </c>
      <c r="I39" s="26" t="inlineStr">
        <is>
          <t>P1</t>
        </is>
      </c>
      <c r="J39" s="26" t="inlineStr">
        <is>
          <t>Negative / Usability</t>
        </is>
      </c>
      <c r="K39" s="27" t="inlineStr">
        <is>
          <t>RQ-17, RQ-19</t>
        </is>
      </c>
      <c r="L39" s="28" t="n">
        <v>2</v>
      </c>
      <c r="M39" s="27" t="inlineStr"/>
      <c r="N39" s="27" t="inlineStr">
        <is>
          <t>SATE Mobile App; Multiple BLE Accessories</t>
        </is>
      </c>
      <c r="O39" s="27" t="inlineStr">
        <is>
          <t>Verify device identification and correction when multiple devices are present.</t>
        </is>
      </c>
      <c r="P39" s="27" t="inlineStr">
        <is>
          <t>Two discoverable devices are nearby and clearly labeled for testing.</t>
        </is>
      </c>
      <c r="Q39" s="27" t="inlineStr">
        <is>
          <t>BLE Device A assigned to User A; BLE Device B assigned to User B.</t>
        </is>
      </c>
      <c r="R39" s="27" t="inlineStr">
        <is>
          <t>1. Scan for devices.
2. Intentionally select the wrong device.
3. Observe warnings/identity display.
4. Cancel or correct the selection.
5. Pair the correct device.</t>
        </is>
      </c>
      <c r="S39" s="27" t="inlineStr">
        <is>
          <t>The app shows enough identifying information to avoid confusion and allows correction. If assignment rules prohibit the wrong device, pairing is blocked.</t>
        </is>
      </c>
      <c r="T39" s="27" t="inlineStr">
        <is>
          <t>No session or permanent assignment is created for the rejected device.</t>
        </is>
      </c>
      <c r="U39" s="27" t="inlineStr">
        <is>
          <t>Wrong-device selection must not re-bind anything. For a **Plaud** device this is critical: if bindingOwner(sn) is set and differs from this account, the app must REFUSE to connect. A mis-bound Plaud is permanently locked, unlike a recoverable SATE recorder.</t>
        </is>
      </c>
      <c r="V39" s="27" t="inlineStr">
        <is>
          <t>Check device-user mapping and absence of unintended records.</t>
        </is>
      </c>
      <c r="W39" s="27" t="inlineStr">
        <is>
          <t>The wrong device cannot be silently associated with the user.</t>
        </is>
      </c>
      <c r="X39" s="26" t="inlineStr">
        <is>
          <t>Not Run</t>
        </is>
      </c>
      <c r="Y39" s="26" t="inlineStr"/>
      <c r="Z39" s="28">
        <f>COUNTIF('Defect Log'!$C$2:$C$500,$A39)</f>
        <v/>
      </c>
      <c r="AA39" s="26" t="inlineStr"/>
      <c r="AB39" s="26" t="inlineStr"/>
      <c r="AC39" s="26" t="inlineStr"/>
      <c r="AD39" s="26" t="inlineStr"/>
    </row>
    <row r="40" ht="58" customHeight="1">
      <c r="A40" s="26" t="inlineStr">
        <is>
          <t>SATE-BLE-004</t>
        </is>
      </c>
      <c r="B40" s="26" t="inlineStr">
        <is>
          <t>Deferred - pendant / BLE</t>
        </is>
      </c>
      <c r="C40" s="27" t="inlineStr"/>
      <c r="D40" s="28" t="inlineStr">
        <is>
          <t>End User</t>
        </is>
      </c>
      <c r="E40" s="26" t="inlineStr">
        <is>
          <t>Tester</t>
        </is>
      </c>
      <c r="F40" s="27" t="inlineStr">
        <is>
          <t>Recorder · phone · browser</t>
        </is>
      </c>
      <c r="G40" s="26" t="inlineStr">
        <is>
          <t>BLE and Device Connectivity</t>
        </is>
      </c>
      <c r="H40" s="27" t="inlineStr">
        <is>
          <t>Multiple nearby BLE devices during discovery and reconnect</t>
        </is>
      </c>
      <c r="I40" s="26" t="inlineStr">
        <is>
          <t>P1</t>
        </is>
      </c>
      <c r="J40" s="26" t="inlineStr">
        <is>
          <t>Compatibility / Reliability</t>
        </is>
      </c>
      <c r="K40" s="27" t="inlineStr">
        <is>
          <t>RQ-19</t>
        </is>
      </c>
      <c r="L40" s="28" t="n">
        <v>1</v>
      </c>
      <c r="M40" s="27" t="inlineStr"/>
      <c r="N40" s="27" t="inlineStr">
        <is>
          <t>SATE Mobile App; Multiple BLE Accessories</t>
        </is>
      </c>
      <c r="O40" s="27" t="inlineStr">
        <is>
          <t>Verify stable discovery, selection, and reconnect in a crowded environment.</t>
        </is>
      </c>
      <c r="P40" s="27" t="inlineStr">
        <is>
          <t>At least three discoverable BLE devices are nearby.</t>
        </is>
      </c>
      <c r="Q40" s="27" t="inlineStr">
        <is>
          <t>Multiple accessories with unique identifiers.</t>
        </is>
      </c>
      <c r="R40" s="27" t="inlineStr">
        <is>
          <t>1. Scan repeatedly.
2. Move devices in/out of range.
3. Select the intended device.
4. Restart app and verify reconnect.</t>
        </is>
      </c>
      <c r="S40" s="27" t="inlineStr">
        <is>
          <t>Device list remains usable, identifiers do not swap, and the intended device reconnects.</t>
        </is>
      </c>
      <c r="T40" s="27" t="inlineStr">
        <is>
          <t>Correct device ID remains associated with the account and resulting sessions.</t>
        </is>
      </c>
      <c r="U40" s="27" t="inlineStr">
        <is>
          <t>Scan with **no service filter** and match on name OR localName OR the advertised audio service — the pendant's name is only in the scan response, so iOS surfaces it as localName and name may be a stale cached GAP name from older firmware.</t>
        </is>
      </c>
      <c r="V40" s="27" t="inlineStr">
        <is>
          <t>Compare scan list, selected ID, connected ID, and session metadata.</t>
        </is>
      </c>
      <c r="W40" s="27" t="inlineStr">
        <is>
          <t>No unintended device switch or duplicate device record occurs.</t>
        </is>
      </c>
      <c r="X40" s="26" t="inlineStr">
        <is>
          <t>Not Run</t>
        </is>
      </c>
      <c r="Y40" s="26" t="inlineStr"/>
      <c r="Z40" s="28">
        <f>COUNTIF('Defect Log'!$C$2:$C$500,$A40)</f>
        <v/>
      </c>
      <c r="AA40" s="26" t="inlineStr"/>
      <c r="AB40" s="26" t="inlineStr"/>
      <c r="AC40" s="26" t="inlineStr"/>
      <c r="AD40" s="26" t="inlineStr"/>
    </row>
    <row r="41" ht="58" customHeight="1">
      <c r="A41" s="26" t="inlineStr">
        <is>
          <t>SATE-BLE-005</t>
        </is>
      </c>
      <c r="B41" s="26" t="inlineStr">
        <is>
          <t>Deferred - pendant / BLE</t>
        </is>
      </c>
      <c r="C41" s="27" t="inlineStr"/>
      <c r="D41" s="28" t="inlineStr">
        <is>
          <t>End User</t>
        </is>
      </c>
      <c r="E41" s="26" t="inlineStr">
        <is>
          <t>Tester</t>
        </is>
      </c>
      <c r="F41" s="27" t="inlineStr">
        <is>
          <t>Recorder · phone · browser</t>
        </is>
      </c>
      <c r="G41" s="26" t="inlineStr">
        <is>
          <t>BLE and Device Connectivity</t>
        </is>
      </c>
      <c r="H41" s="27" t="inlineStr">
        <is>
          <t>BLE device is already connected to another phone</t>
        </is>
      </c>
      <c r="I41" s="26" t="inlineStr">
        <is>
          <t>P1</t>
        </is>
      </c>
      <c r="J41" s="26" t="inlineStr">
        <is>
          <t>Negative / Recovery</t>
        </is>
      </c>
      <c r="K41" s="27" t="inlineStr">
        <is>
          <t>RQ-19</t>
        </is>
      </c>
      <c r="L41" s="28" t="n">
        <v>1</v>
      </c>
      <c r="M41" s="27" t="inlineStr"/>
      <c r="N41" s="27" t="inlineStr">
        <is>
          <t>SATE Mobile App; BLE Accessory; Second Phone</t>
        </is>
      </c>
      <c r="O41" s="27" t="inlineStr">
        <is>
          <t>Verify clear handling of exclusive BLE connection conflicts.</t>
        </is>
      </c>
      <c r="P41" s="27" t="inlineStr">
        <is>
          <t>Target device is connected to Phone A; tester uses Phone B.</t>
        </is>
      </c>
      <c r="Q41" s="27" t="inlineStr">
        <is>
          <t>Two supported phones and one BLE accessory.</t>
        </is>
      </c>
      <c r="R41" s="27" t="inlineStr">
        <is>
          <t>1. Connect device to Phone A.
2. Attempt connection from Phone B.
3. Disconnect Phone A.
4. Retry from Phone B.</t>
        </is>
      </c>
      <c r="S41" s="27" t="inlineStr">
        <is>
          <t>Phone B receives a clear unavailable/in-use message and later connects successfully after release.</t>
        </is>
      </c>
      <c r="T41" s="27" t="inlineStr">
        <is>
          <t>No duplicate or conflicting device assignment/session is created.</t>
        </is>
      </c>
      <c r="U41" s="27" t="inlineStr">
        <is>
          <t>Only one central may hold the link. Expect a clean refusal, not a re-bind.</t>
        </is>
      </c>
      <c r="V41" s="27" t="inlineStr">
        <is>
          <t>Verify connection logs, device mapping, and successful later session.</t>
        </is>
      </c>
      <c r="W41" s="27" t="inlineStr">
        <is>
          <t>Connection conflict is understandable and recoverable without reset or data corruption.</t>
        </is>
      </c>
      <c r="X41" s="26" t="inlineStr">
        <is>
          <t>Not Run</t>
        </is>
      </c>
      <c r="Y41" s="26" t="inlineStr"/>
      <c r="Z41" s="28">
        <f>COUNTIF('Defect Log'!$C$2:$C$500,$A41)</f>
        <v/>
      </c>
      <c r="AA41" s="26" t="inlineStr"/>
      <c r="AB41" s="26" t="inlineStr"/>
      <c r="AC41" s="26" t="inlineStr"/>
      <c r="AD41" s="26" t="inlineStr"/>
    </row>
    <row r="42" ht="58" customHeight="1">
      <c r="A42" s="26" t="inlineStr">
        <is>
          <t>SATE-BLE-006</t>
        </is>
      </c>
      <c r="B42" s="26" t="inlineStr">
        <is>
          <t>Deferred - pendant / BLE</t>
        </is>
      </c>
      <c r="C42" s="27" t="inlineStr"/>
      <c r="D42" s="28" t="inlineStr">
        <is>
          <t>End User</t>
        </is>
      </c>
      <c r="E42" s="26" t="inlineStr">
        <is>
          <t>Tester</t>
        </is>
      </c>
      <c r="F42" s="27" t="inlineStr">
        <is>
          <t>Recorder · phone · browser</t>
        </is>
      </c>
      <c r="G42" s="26" t="inlineStr">
        <is>
          <t>BLE and Device Connectivity</t>
        </is>
      </c>
      <c r="H42" s="27" t="inlineStr">
        <is>
          <t>Bluetooth disabled or permission revoked</t>
        </is>
      </c>
      <c r="I42" s="26" t="inlineStr">
        <is>
          <t>P0</t>
        </is>
      </c>
      <c r="J42" s="26" t="inlineStr">
        <is>
          <t>Negative / Permissions</t>
        </is>
      </c>
      <c r="K42" s="27" t="inlineStr">
        <is>
          <t>RQ-19</t>
        </is>
      </c>
      <c r="L42" s="28" t="n">
        <v>1</v>
      </c>
      <c r="M42" s="27" t="inlineStr"/>
      <c r="N42" s="27" t="inlineStr">
        <is>
          <t>SATE Mobile App; OS Permissions; BLE Accessory</t>
        </is>
      </c>
      <c r="O42" s="27" t="inlineStr">
        <is>
          <t>Verify actionable handling of unavailable Bluetooth access.</t>
        </is>
      </c>
      <c r="P42" s="27" t="inlineStr">
        <is>
          <t>App is installed; tester can disable Bluetooth and revoke permissions.</t>
        </is>
      </c>
      <c r="Q42" s="27" t="inlineStr">
        <is>
          <t>Supported Android and iOS devices.</t>
        </is>
      </c>
      <c r="R42" s="27" t="inlineStr">
        <is>
          <t>1. Disable Bluetooth and open the workflow.
2. Observe message.
3. Enable Bluetooth but revoke app permission.
4. Retry.
5. Restore permission and connect.</t>
        </is>
      </c>
      <c r="S42" s="27" t="inlineStr">
        <is>
          <t>The app identifies the exact issue and directs the user to restore access. It must not show a false connected state.</t>
        </is>
      </c>
      <c r="T42" s="27" t="inlineStr">
        <is>
          <t>No session is created unless capture actually starts. Existing pending data remains intact.</t>
        </is>
      </c>
      <c r="U42" s="27" t="inlineStr">
        <is>
          <t>Permission loss must be reported, not silently retried. Note SATE and Pendant **share one BleManager**; a screen taking the radio must stopScan() only and never destroy it. Destroying and recreating leaves the iOS BLE stack returning zero devices with no error.</t>
        </is>
      </c>
      <c r="V42" s="27" t="inlineStr">
        <is>
          <t>Check app state, device state, pending queue, and later successful connection.</t>
        </is>
      </c>
      <c r="W42" s="27" t="inlineStr">
        <is>
          <t>Bluetooth and permission failures are explicit, safe, and recoverable.</t>
        </is>
      </c>
      <c r="X42" s="26" t="inlineStr">
        <is>
          <t>Not Run</t>
        </is>
      </c>
      <c r="Y42" s="26" t="inlineStr"/>
      <c r="Z42" s="28">
        <f>COUNTIF('Defect Log'!$C$2:$C$500,$A42)</f>
        <v/>
      </c>
      <c r="AA42" s="26" t="inlineStr"/>
      <c r="AB42" s="26" t="inlineStr"/>
      <c r="AC42" s="26" t="inlineStr"/>
      <c r="AD42" s="26" t="inlineStr"/>
    </row>
    <row r="43" ht="58" customHeight="1">
      <c r="A43" s="26" t="inlineStr">
        <is>
          <t>SATE-BLE-007</t>
        </is>
      </c>
      <c r="B43" s="26" t="inlineStr">
        <is>
          <t>Deferred - pendant / BLE</t>
        </is>
      </c>
      <c r="C43" s="27" t="inlineStr"/>
      <c r="D43" s="28" t="inlineStr">
        <is>
          <t>Both</t>
        </is>
      </c>
      <c r="E43" s="26" t="inlineStr">
        <is>
          <t>Tester + Engineer</t>
        </is>
      </c>
      <c r="F43" s="27" t="inlineStr">
        <is>
          <t>Recorder · phone · browser + Supabase read access</t>
        </is>
      </c>
      <c r="G43" s="26" t="inlineStr">
        <is>
          <t>BLE and Device Connectivity</t>
        </is>
      </c>
      <c r="H43" s="27" t="inlineStr">
        <is>
          <t>BLE disconnects during recording and later reconnects</t>
        </is>
      </c>
      <c r="I43" s="26" t="inlineStr">
        <is>
          <t>P0</t>
        </is>
      </c>
      <c r="J43" s="26" t="inlineStr">
        <is>
          <t>Recovery / Data Integrity</t>
        </is>
      </c>
      <c r="K43" s="27" t="inlineStr">
        <is>
          <t>RQ-04, RQ-06, RQ-19</t>
        </is>
      </c>
      <c r="L43" s="28" t="n">
        <v>3</v>
      </c>
      <c r="M43" s="27" t="inlineStr">
        <is>
          <t>RQ-06</t>
        </is>
      </c>
      <c r="N43" s="27" t="inlineStr">
        <is>
          <t>SATE Mobile App; BLE Accessory; Local Storage</t>
        </is>
      </c>
      <c r="O43" s="27" t="inlineStr">
        <is>
          <t>Verify recording continuity or explicit interruption when BLE is lost.</t>
        </is>
      </c>
      <c r="P43" s="27" t="inlineStr">
        <is>
          <t>BLE recording workflow is active.</t>
        </is>
      </c>
      <c r="Q43" s="27" t="inlineStr">
        <is>
          <t>10-minute session; move accessory out of range for one minute.</t>
        </is>
      </c>
      <c r="R43" s="27" t="inlineStr">
        <is>
          <t>1. Start recording.
2. Break BLE connection.
3. Continue waiting for one minute.
4. Return device to range.
5. Observe reconnect.
6. Stop and sync.</t>
        </is>
      </c>
      <c r="S43" s="27" t="inlineStr">
        <is>
          <t>The app shows disconnect/reconnect status. It does not silently display continuous Recording if capture stopped.</t>
        </is>
      </c>
      <c r="T43" s="27" t="inlineStr">
        <is>
          <t>Session is either continuous and valid or explicitly marked with an interruption. It is never falsely Completed as gap-free.</t>
        </is>
      </c>
      <c r="U43" s="27" t="inlineStr">
        <is>
          <t>A BLE drop during a bridged take is a truncation risk. Server-side, compare stored bytes against the expected duration — a short object with a done status is the failure.</t>
        </is>
      </c>
      <c r="V43" s="27" t="inlineStr">
        <is>
          <t>Inspect audio around disconnect, BLE event log, duration, session count, and transcript continuity.</t>
        </is>
      </c>
      <c r="W43" s="27" t="inlineStr">
        <is>
          <t>Connection loss is detected and the final session accurately represents whether data were continuous or interrupted.</t>
        </is>
      </c>
      <c r="X43" s="26" t="inlineStr">
        <is>
          <t>Not Run</t>
        </is>
      </c>
      <c r="Y43" s="26" t="inlineStr"/>
      <c r="Z43" s="28">
        <f>COUNTIF('Defect Log'!$C$2:$C$500,$A43)</f>
        <v/>
      </c>
      <c r="AA43" s="26" t="inlineStr"/>
      <c r="AB43" s="26" t="inlineStr"/>
      <c r="AC43" s="26" t="inlineStr"/>
      <c r="AD43" s="26" t="inlineStr"/>
    </row>
    <row r="44" ht="58" customHeight="1">
      <c r="A44" s="26" t="inlineStr">
        <is>
          <t>SATE-BLE-008</t>
        </is>
      </c>
      <c r="B44" s="26" t="inlineStr">
        <is>
          <t>Deferred - pendant / BLE</t>
        </is>
      </c>
      <c r="C44" s="27" t="inlineStr"/>
      <c r="D44" s="28" t="inlineStr">
        <is>
          <t>Both</t>
        </is>
      </c>
      <c r="E44" s="26" t="inlineStr">
        <is>
          <t>Tester + Engineer</t>
        </is>
      </c>
      <c r="F44" s="27" t="inlineStr">
        <is>
          <t>Recorder · phone · browser + Supabase read access</t>
        </is>
      </c>
      <c r="G44" s="26" t="inlineStr">
        <is>
          <t>BLE and Device Connectivity</t>
        </is>
      </c>
      <c r="H44" s="27" t="inlineStr">
        <is>
          <t>BLE accessory battery is depleted during recording</t>
        </is>
      </c>
      <c r="I44" s="26" t="inlineStr">
        <is>
          <t>P0</t>
        </is>
      </c>
      <c r="J44" s="26" t="inlineStr">
        <is>
          <t>Recovery / Hardware</t>
        </is>
      </c>
      <c r="K44" s="27" t="inlineStr">
        <is>
          <t>RQ-06, RQ-20</t>
        </is>
      </c>
      <c r="L44" s="28" t="n">
        <v>2</v>
      </c>
      <c r="M44" s="27" t="inlineStr">
        <is>
          <t>RQ-06, RQ-20</t>
        </is>
      </c>
      <c r="N44" s="27" t="inlineStr">
        <is>
          <t>SATE Mobile App; BLE Accessory</t>
        </is>
      </c>
      <c r="O44" s="27" t="inlineStr">
        <is>
          <t>Verify low-battery warning and safe session handling.</t>
        </is>
      </c>
      <c r="P44" s="27" t="inlineStr">
        <is>
          <t>Accessory begins near low-battery threshold.</t>
        </is>
      </c>
      <c r="Q44" s="27" t="inlineStr">
        <is>
          <t>Record until device powers down.</t>
        </is>
      </c>
      <c r="R44" s="27" t="inlineStr">
        <is>
          <t>1. Start recording.
2. Observe battery indicator/warning.
3. Continue until disconnect/power loss.
4. Recharge and reconnect.
5. Inspect and sync the session.</t>
        </is>
      </c>
      <c r="S44" s="27" t="inlineStr">
        <is>
          <t>Low-battery warning appears when supported. Disconnect is explicit and recovery guidance is shown.</t>
        </is>
      </c>
      <c r="T44" s="27" t="inlineStr">
        <is>
          <t>Captured data are preserved as valid partial/continuous data according to design; no false Completed state.</t>
        </is>
      </c>
      <c r="U44" s="27" t="inlineStr">
        <is>
          <t>Same truncation check. Confirm whatever was captured is preserved rather than discarded.</t>
        </is>
      </c>
      <c r="V44" s="27" t="inlineStr">
        <is>
          <t>Check audio/event boundary, device battery log, duration, session status, and duplicate count.</t>
        </is>
      </c>
      <c r="W44" s="27" t="inlineStr">
        <is>
          <t>Battery depletion does not silently lose or misrepresent the session.</t>
        </is>
      </c>
      <c r="X44" s="26" t="inlineStr">
        <is>
          <t>Not Run</t>
        </is>
      </c>
      <c r="Y44" s="26" t="inlineStr"/>
      <c r="Z44" s="28">
        <f>COUNTIF('Defect Log'!$C$2:$C$500,$A44)</f>
        <v/>
      </c>
      <c r="AA44" s="26" t="inlineStr"/>
      <c r="AB44" s="26" t="inlineStr"/>
      <c r="AC44" s="26" t="inlineStr"/>
      <c r="AD44" s="26" t="inlineStr"/>
    </row>
    <row r="45" ht="58" customHeight="1">
      <c r="A45" s="26" t="inlineStr">
        <is>
          <t>SATE-APP-001</t>
        </is>
      </c>
      <c r="B45" s="26" t="inlineStr">
        <is>
          <t>Deferred - mobile app</t>
        </is>
      </c>
      <c r="C45" s="27" t="inlineStr"/>
      <c r="D45" s="28" t="inlineStr">
        <is>
          <t>End User</t>
        </is>
      </c>
      <c r="E45" s="26" t="inlineStr">
        <is>
          <t>Tester</t>
        </is>
      </c>
      <c r="F45" s="27" t="inlineStr">
        <is>
          <t>Recorder · phone · browser</t>
        </is>
      </c>
      <c r="G45" s="26" t="inlineStr">
        <is>
          <t>Mobile App Lifecycle and Authentication</t>
        </is>
      </c>
      <c r="H45" s="27" t="inlineStr">
        <is>
          <t>App moves to background during an active recording</t>
        </is>
      </c>
      <c r="I45" s="26" t="inlineStr">
        <is>
          <t>P0</t>
        </is>
      </c>
      <c r="J45" s="26" t="inlineStr">
        <is>
          <t>Mobile Lifecycle</t>
        </is>
      </c>
      <c r="K45" s="27" t="inlineStr">
        <is>
          <t>RQ-10, RQ-19</t>
        </is>
      </c>
      <c r="L45" s="28" t="n">
        <v>2</v>
      </c>
      <c r="M45" s="27" t="inlineStr"/>
      <c r="N45" s="27" t="inlineStr">
        <is>
          <t>SATE Mobile App; BLE Accessory; OS Background Services</t>
        </is>
      </c>
      <c r="O45" s="27" t="inlineStr">
        <is>
          <t>Verify supported background behavior during capture.</t>
        </is>
      </c>
      <c r="P45" s="27" t="inlineStr">
        <is>
          <t>Recording is active and background permissions are configured.</t>
        </is>
      </c>
      <c r="Q45" s="27" t="inlineStr">
        <is>
          <t>5-minute BLE/mobile session.</t>
        </is>
      </c>
      <c r="R45" s="27" t="inlineStr">
        <is>
          <t>1. Start recording.
2. Send app to background for two minutes.
3. Use another app.
4. Return to SATE.
5. Stop and sync.</t>
        </is>
      </c>
      <c r="S45" s="27" t="inlineStr">
        <is>
          <t>Recording/status remains correct or the app clearly reports interruption. UI state is restored accurately.</t>
        </is>
      </c>
      <c r="T45" s="27" t="inlineStr">
        <is>
          <t>One session with correct capture status is stored.</t>
        </is>
      </c>
      <c r="U45" s="27" t="inlineStr">
        <is>
          <t>No server involvement for a recorder-driven take. For BLE-bridged capture, check for a gap at the moment of backgrounding.</t>
        </is>
      </c>
      <c r="V45" s="27" t="inlineStr">
        <is>
          <t>Check audio continuity, app lifecycle logs, duration, and session count.</t>
        </is>
      </c>
      <c r="W45" s="27" t="inlineStr">
        <is>
          <t>No silent interruption, duplicate recording, or false status occurs.</t>
        </is>
      </c>
      <c r="X45" s="26" t="inlineStr">
        <is>
          <t>Not Run</t>
        </is>
      </c>
      <c r="Y45" s="26" t="inlineStr"/>
      <c r="Z45" s="28">
        <f>COUNTIF('Defect Log'!$C$2:$C$500,$A45)</f>
        <v/>
      </c>
      <c r="AA45" s="26" t="inlineStr"/>
      <c r="AB45" s="26" t="inlineStr"/>
      <c r="AC45" s="26" t="inlineStr"/>
      <c r="AD45" s="26" t="inlineStr"/>
    </row>
    <row r="46" ht="58" customHeight="1">
      <c r="A46" s="26" t="inlineStr">
        <is>
          <t>SATE-APP-002</t>
        </is>
      </c>
      <c r="B46" s="26" t="inlineStr">
        <is>
          <t>Deferred - mobile app</t>
        </is>
      </c>
      <c r="C46" s="27" t="inlineStr"/>
      <c r="D46" s="28" t="inlineStr">
        <is>
          <t>End User</t>
        </is>
      </c>
      <c r="E46" s="26" t="inlineStr">
        <is>
          <t>Tester</t>
        </is>
      </c>
      <c r="F46" s="27" t="inlineStr">
        <is>
          <t>Recorder · phone · browser</t>
        </is>
      </c>
      <c r="G46" s="26" t="inlineStr">
        <is>
          <t>Mobile App Lifecycle and Authentication</t>
        </is>
      </c>
      <c r="H46" s="27" t="inlineStr">
        <is>
          <t>App is force-closed during recording</t>
        </is>
      </c>
      <c r="I46" s="26" t="inlineStr">
        <is>
          <t>P0</t>
        </is>
      </c>
      <c r="J46" s="26" t="inlineStr">
        <is>
          <t>Recovery / Fault Injection</t>
        </is>
      </c>
      <c r="K46" s="27" t="inlineStr">
        <is>
          <t>RQ-04, RQ-06</t>
        </is>
      </c>
      <c r="L46" s="28" t="n">
        <v>2</v>
      </c>
      <c r="M46" s="27" t="inlineStr">
        <is>
          <t>RQ-06</t>
        </is>
      </c>
      <c r="N46" s="27" t="inlineStr">
        <is>
          <t>SATE Mobile App; BLE Accessory; Local Storage</t>
        </is>
      </c>
      <c r="O46" s="27" t="inlineStr">
        <is>
          <t>Verify crash recovery and accurate interrupted-session handling.</t>
        </is>
      </c>
      <c r="P46" s="27" t="inlineStr">
        <is>
          <t>Recording is active.</t>
        </is>
      </c>
      <c r="Q46" s="27" t="inlineStr">
        <is>
          <t>5-minute session; force-close after two minutes.</t>
        </is>
      </c>
      <c r="R46" s="27" t="inlineStr">
        <is>
          <t>1. Start recording.
2. Force-close the app.
3. Reopen the app.
4. Inspect recovered session/status.
5. Sync any recoverable data.</t>
        </is>
      </c>
      <c r="S46" s="27" t="inlineStr">
        <is>
          <t>The app reports interruption/recovery and does not pretend the session completed normally.</t>
        </is>
      </c>
      <c r="T46" s="27" t="inlineStr">
        <is>
          <t>One valid partial/recovered session or one traceable failure exists; no duplicate.</t>
        </is>
      </c>
      <c r="U46" s="27" t="inlineStr">
        <is>
          <t>The recorder is the source of truth; a force-closed app must not lose the take. Verify the session still arrives.</t>
        </is>
      </c>
      <c r="V46" s="27" t="inlineStr">
        <is>
          <t>Check local files, audio duration, session ID, error log, and backend count.</t>
        </is>
      </c>
      <c r="W46" s="27" t="inlineStr">
        <is>
          <t>Captured data are handled according to the documented recovery rule with no silent loss or false completion.</t>
        </is>
      </c>
      <c r="X46" s="26" t="inlineStr">
        <is>
          <t>Not Run</t>
        </is>
      </c>
      <c r="Y46" s="26" t="inlineStr"/>
      <c r="Z46" s="28">
        <f>COUNTIF('Defect Log'!$C$2:$C$500,$A46)</f>
        <v/>
      </c>
      <c r="AA46" s="26" t="inlineStr"/>
      <c r="AB46" s="26" t="inlineStr"/>
      <c r="AC46" s="26" t="inlineStr"/>
      <c r="AD46" s="26" t="inlineStr"/>
    </row>
    <row r="47" ht="58" customHeight="1">
      <c r="A47" s="26" t="inlineStr">
        <is>
          <t>SATE-APP-003</t>
        </is>
      </c>
      <c r="B47" s="26" t="inlineStr">
        <is>
          <t>Deferred - mobile app</t>
        </is>
      </c>
      <c r="C47" s="27" t="inlineStr"/>
      <c r="D47" s="28" t="inlineStr">
        <is>
          <t>Both</t>
        </is>
      </c>
      <c r="E47" s="26" t="inlineStr">
        <is>
          <t>Tester + Engineer</t>
        </is>
      </c>
      <c r="F47" s="27" t="inlineStr">
        <is>
          <t>Recorder · phone · browser + Supabase read access</t>
        </is>
      </c>
      <c r="G47" s="26" t="inlineStr">
        <is>
          <t>Mobile App Lifecycle and Authentication</t>
        </is>
      </c>
      <c r="H47" s="27" t="inlineStr">
        <is>
          <t>App is force-closed during upload</t>
        </is>
      </c>
      <c r="I47" s="26" t="inlineStr">
        <is>
          <t>P0</t>
        </is>
      </c>
      <c r="J47" s="26" t="inlineStr">
        <is>
          <t>Recovery</t>
        </is>
      </c>
      <c r="K47" s="27" t="inlineStr">
        <is>
          <t>RQ-08, RQ-09, RQ-10</t>
        </is>
      </c>
      <c r="L47" s="28" t="n">
        <v>3</v>
      </c>
      <c r="M47" s="27" t="inlineStr">
        <is>
          <t>RQ-09</t>
        </is>
      </c>
      <c r="N47" s="27" t="inlineStr">
        <is>
          <t>SATE Mobile App; Upload Queue; Supabase</t>
        </is>
      </c>
      <c r="O47" s="27" t="inlineStr">
        <is>
          <t>Verify pending upload persistence after process termination.</t>
        </is>
      </c>
      <c r="P47" s="27" t="inlineStr">
        <is>
          <t>Session upload is in progress.</t>
        </is>
      </c>
      <c r="Q47" s="27" t="inlineStr">
        <is>
          <t>10-minute session.</t>
        </is>
      </c>
      <c r="R47" s="27" t="inlineStr">
        <is>
          <t>1. Start upload.
2. Force-close the app mid-transfer.
3. Reopen the app.
4. Observe queue recovery.
5. Wait for completion.</t>
        </is>
      </c>
      <c r="S47" s="27" t="inlineStr">
        <is>
          <t>Pending session reappears and resumes/retries. It does not remain permanently Uploading.</t>
        </is>
      </c>
      <c r="T47" s="27" t="inlineStr">
        <is>
          <t>One final session/object/result exists; incomplete transfer is reconciled.</t>
        </is>
      </c>
      <c r="U47" s="27" t="inlineStr">
        <is>
          <t>Interrupted upload → chunked resume. Check for orphan _tmp/ parts left behind.</t>
        </is>
      </c>
      <c r="V47" s="27" t="inlineStr">
        <is>
          <t>Check queue persistence, file completeness, session/object/job counts, and final status.</t>
        </is>
      </c>
      <c r="W47" s="27" t="inlineStr">
        <is>
          <t>Upload recovers without duplication, corruption, or user re-recording.</t>
        </is>
      </c>
      <c r="X47" s="26" t="inlineStr">
        <is>
          <t>Not Run</t>
        </is>
      </c>
      <c r="Y47" s="26" t="inlineStr"/>
      <c r="Z47" s="28">
        <f>COUNTIF('Defect Log'!$C$2:$C$500,$A47)</f>
        <v/>
      </c>
      <c r="AA47" s="26" t="inlineStr"/>
      <c r="AB47" s="26" t="inlineStr"/>
      <c r="AC47" s="26" t="inlineStr"/>
      <c r="AD47" s="26" t="inlineStr"/>
    </row>
    <row r="48" ht="58" customHeight="1">
      <c r="A48" s="26" t="inlineStr">
        <is>
          <t>SATE-APP-004</t>
        </is>
      </c>
      <c r="B48" s="26" t="inlineStr">
        <is>
          <t>Deferred - mobile app</t>
        </is>
      </c>
      <c r="C48" s="27" t="inlineStr"/>
      <c r="D48" s="28" t="inlineStr">
        <is>
          <t>Both</t>
        </is>
      </c>
      <c r="E48" s="26" t="inlineStr">
        <is>
          <t>Tester + Engineer</t>
        </is>
      </c>
      <c r="F48" s="27" t="inlineStr">
        <is>
          <t>Recorder · phone · browser + Supabase read access</t>
        </is>
      </c>
      <c r="G48" s="26" t="inlineStr">
        <is>
          <t>Mobile App Lifecycle and Authentication</t>
        </is>
      </c>
      <c r="H48" s="27" t="inlineStr">
        <is>
          <t>Phone restarts during upload</t>
        </is>
      </c>
      <c r="I48" s="26" t="inlineStr">
        <is>
          <t>P0</t>
        </is>
      </c>
      <c r="J48" s="26" t="inlineStr">
        <is>
          <t>Recovery</t>
        </is>
      </c>
      <c r="K48" s="27" t="inlineStr">
        <is>
          <t>RQ-08, RQ-10</t>
        </is>
      </c>
      <c r="L48" s="28" t="n">
        <v>2</v>
      </c>
      <c r="M48" s="27" t="inlineStr"/>
      <c r="N48" s="27" t="inlineStr">
        <is>
          <t>SATE Mobile App; OS; Upload Queue</t>
        </is>
      </c>
      <c r="O48" s="27" t="inlineStr">
        <is>
          <t>Verify durable queue state across full phone reboot.</t>
        </is>
      </c>
      <c r="P48" s="27" t="inlineStr">
        <is>
          <t>Upload is active; phone can be restarted.</t>
        </is>
      </c>
      <c r="Q48" s="27" t="inlineStr">
        <is>
          <t>10-minute session.</t>
        </is>
      </c>
      <c r="R48" s="27" t="inlineStr">
        <is>
          <t>1. Start upload.
2. Restart the phone.
3. Unlock and reopen SATE.
4. Restore network if needed.
5. Observe completion.</t>
        </is>
      </c>
      <c r="S48" s="27" t="inlineStr">
        <is>
          <t>The pending session is restored and clearly shown.</t>
        </is>
      </c>
      <c r="T48" s="27" t="inlineStr">
        <is>
          <t>Queue/session identity persists; one final upload and result are created.</t>
        </is>
      </c>
      <c r="U48" s="27" t="inlineStr">
        <is>
          <t>Same as APP-003 with a longer gap. The row should either not exist yet or be complete — never a row with storage_path pointing at nothing.</t>
        </is>
      </c>
      <c r="V48" s="27" t="inlineStr">
        <is>
          <t>Compare session ID and queue state before/after reboot; validate file and final record counts.</t>
        </is>
      </c>
      <c r="W48" s="27" t="inlineStr">
        <is>
          <t>Phone reboot does not lose, duplicate, or mis-associate the session.</t>
        </is>
      </c>
      <c r="X48" s="26" t="inlineStr">
        <is>
          <t>Not Run</t>
        </is>
      </c>
      <c r="Y48" s="26" t="inlineStr"/>
      <c r="Z48" s="28">
        <f>COUNTIF('Defect Log'!$C$2:$C$500,$A48)</f>
        <v/>
      </c>
      <c r="AA48" s="26" t="inlineStr"/>
      <c r="AB48" s="26" t="inlineStr"/>
      <c r="AC48" s="26" t="inlineStr"/>
      <c r="AD48" s="26" t="inlineStr"/>
    </row>
    <row r="49" ht="58" customHeight="1">
      <c r="A49" s="26" t="inlineStr">
        <is>
          <t>SATE-APP-005</t>
        </is>
      </c>
      <c r="B49" s="26" t="inlineStr">
        <is>
          <t>Deferred - mobile app</t>
        </is>
      </c>
      <c r="C49" s="27" t="inlineStr"/>
      <c r="D49" s="28" t="inlineStr">
        <is>
          <t>Both</t>
        </is>
      </c>
      <c r="E49" s="26" t="inlineStr">
        <is>
          <t>Tester + Engineer</t>
        </is>
      </c>
      <c r="F49" s="27" t="inlineStr">
        <is>
          <t>Recorder · phone · browser + Supabase read access</t>
        </is>
      </c>
      <c r="G49" s="26" t="inlineStr">
        <is>
          <t>Mobile App Lifecycle and Authentication</t>
        </is>
      </c>
      <c r="H49" s="27" t="inlineStr">
        <is>
          <t>Authentication token expires during upload or processing</t>
        </is>
      </c>
      <c r="I49" s="26" t="inlineStr">
        <is>
          <t>P0</t>
        </is>
      </c>
      <c r="J49" s="26" t="inlineStr">
        <is>
          <t>Security / Recovery</t>
        </is>
      </c>
      <c r="K49" s="27" t="inlineStr">
        <is>
          <t>RQ-10, RQ-17</t>
        </is>
      </c>
      <c r="L49" s="28" t="n">
        <v>2</v>
      </c>
      <c r="M49" s="27" t="inlineStr"/>
      <c r="N49" s="27" t="inlineStr">
        <is>
          <t>SATE Mobile App; Authentication; Supabase</t>
        </is>
      </c>
      <c r="O49" s="27" t="inlineStr">
        <is>
          <t>Verify safe token refresh or reauthentication without losing the session.</t>
        </is>
      </c>
      <c r="P49" s="27" t="inlineStr">
        <is>
          <t>Use a short-lived token or simulate expiration.</t>
        </is>
      </c>
      <c r="Q49" s="27" t="inlineStr">
        <is>
          <t>5-minute session.</t>
        </is>
      </c>
      <c r="R49" s="27" t="inlineStr">
        <is>
          <t>1. Start upload.
2. Expire/revoke the access token.
3. Observe app behavior.
4. Reauthenticate if prompted.
5. Confirm final completion.</t>
        </is>
      </c>
      <c r="S49" s="27" t="inlineStr">
        <is>
          <t>The app prompts appropriately or refreshes the token securely. It does not assign data to a different account.</t>
        </is>
      </c>
      <c r="T49" s="27" t="inlineStr">
        <is>
          <t>Unauthorized requests fail safely. After reauthentication, the same queued session completes once.</t>
        </is>
      </c>
      <c r="U49" s="27" t="inlineStr">
        <is>
          <t>⚠️ **Read this before testing.** device-api and mint-plaud-token are deployed verify_jwt:false and validate the token themselves. If this case fails with "Setup link expired" or a blanket 401, first confirm nobody redeployed them with the MCP/CLI default verify_jwt:true — that breaks registration and token minting system-wide and looks exactly like an auth-expiry bug. The recorder path uses a device key (Bearer key-…), not a JWT, so it is unaffected by user token expiry — a session already on the device will still upload.</t>
        </is>
      </c>
      <c r="V49" s="27" t="inlineStr">
        <is>
          <t>Check auth logs, user ID, session ID, request count, and final data ownership.</t>
        </is>
      </c>
      <c r="W49" s="27" t="inlineStr">
        <is>
          <t>Token expiry causes no data loss, unauthorized access, duplicate session, or account mis-association.</t>
        </is>
      </c>
      <c r="X49" s="26" t="inlineStr">
        <is>
          <t>Not Run</t>
        </is>
      </c>
      <c r="Y49" s="26" t="inlineStr"/>
      <c r="Z49" s="28">
        <f>COUNTIF('Defect Log'!$C$2:$C$500,$A49)</f>
        <v/>
      </c>
      <c r="AA49" s="26" t="inlineStr"/>
      <c r="AB49" s="26" t="inlineStr"/>
      <c r="AC49" s="26" t="inlineStr"/>
      <c r="AD49" s="26" t="inlineStr"/>
    </row>
    <row r="50" ht="58" customHeight="1">
      <c r="A50" s="26" t="inlineStr">
        <is>
          <t>SATE-APP-006</t>
        </is>
      </c>
      <c r="B50" s="26" t="inlineStr">
        <is>
          <t>Deferred - mobile app</t>
        </is>
      </c>
      <c r="C50" s="27" t="inlineStr"/>
      <c r="D50" s="28" t="inlineStr">
        <is>
          <t>Both</t>
        </is>
      </c>
      <c r="E50" s="26" t="inlineStr">
        <is>
          <t>Tester + Engineer</t>
        </is>
      </c>
      <c r="F50" s="27" t="inlineStr">
        <is>
          <t>Recorder · phone · browser + Supabase read access</t>
        </is>
      </c>
      <c r="G50" s="26" t="inlineStr">
        <is>
          <t>Mobile App Lifecycle and Authentication</t>
        </is>
      </c>
      <c r="H50" s="27" t="inlineStr">
        <is>
          <t>User logs out while sessions are pending upload</t>
        </is>
      </c>
      <c r="I50" s="26" t="inlineStr">
        <is>
          <t>P0</t>
        </is>
      </c>
      <c r="J50" s="26" t="inlineStr">
        <is>
          <t>Security / Product Rule</t>
        </is>
      </c>
      <c r="K50" s="27" t="inlineStr">
        <is>
          <t>RQ-17, RQ-22</t>
        </is>
      </c>
      <c r="L50" s="28" t="n">
        <v>2</v>
      </c>
      <c r="M50" s="27" t="inlineStr"/>
      <c r="N50" s="27" t="inlineStr">
        <is>
          <t>SATE Mobile App; Authentication; Upload Queue</t>
        </is>
      </c>
      <c r="O50" s="27" t="inlineStr">
        <is>
          <t>Verify the documented logout policy for unsynced clinical data.</t>
        </is>
      </c>
      <c r="P50" s="27" t="inlineStr">
        <is>
          <t>At least one local pending session exists.</t>
        </is>
      </c>
      <c r="Q50" s="27" t="inlineStr">
        <is>
          <t>One pending session for User A.</t>
        </is>
      </c>
      <c r="R50" s="27" t="inlineStr">
        <is>
          <t>1. Attempt logout.
2. Observe warning/blocking behavior.
3. Follow the provided option: cancel, sync first, or secure local retention.
4. Log back in as User A and verify the session.</t>
        </is>
      </c>
      <c r="S50" s="27" t="inlineStr">
        <is>
          <t>The app clearly warns about pending data and follows the approved policy. It must not silently discard the session.</t>
        </is>
      </c>
      <c r="T50" s="27" t="inlineStr">
        <is>
          <t>Pending data remain encrypted/associated with User A and are not uploaded under another user.</t>
        </is>
      </c>
      <c r="U50" s="27" t="inlineStr">
        <is>
          <t>Pending local sessions belong to the account that recorded them (RQ-22, unsettled). Verify nothing uploads under the new session's identity.</t>
        </is>
      </c>
      <c r="V50" s="27" t="inlineStr">
        <is>
          <t>Check queue ownership, local retention, later upload, and absence of cross-account records.</t>
        </is>
      </c>
      <c r="W50" s="27" t="inlineStr">
        <is>
          <t>Logout cannot cause silent loss or cross-user upload of pending data.</t>
        </is>
      </c>
      <c r="X50" s="26" t="inlineStr">
        <is>
          <t>Not Run</t>
        </is>
      </c>
      <c r="Y50" s="26" t="inlineStr"/>
      <c r="Z50" s="28">
        <f>COUNTIF('Defect Log'!$C$2:$C$500,$A50)</f>
        <v/>
      </c>
      <c r="AA50" s="26" t="inlineStr"/>
      <c r="AB50" s="26" t="inlineStr"/>
      <c r="AC50" s="26" t="inlineStr"/>
      <c r="AD50" s="26" t="inlineStr"/>
    </row>
    <row r="51" ht="58" customHeight="1">
      <c r="A51" s="26" t="inlineStr">
        <is>
          <t>SATE-APP-007</t>
        </is>
      </c>
      <c r="B51" s="26" t="inlineStr">
        <is>
          <t>Deferred - mobile app</t>
        </is>
      </c>
      <c r="C51" s="27" t="inlineStr"/>
      <c r="D51" s="28" t="inlineStr">
        <is>
          <t>Both</t>
        </is>
      </c>
      <c r="E51" s="26" t="inlineStr">
        <is>
          <t>Tester + Engineer</t>
        </is>
      </c>
      <c r="F51" s="27" t="inlineStr">
        <is>
          <t>Recorder · phone · browser + Supabase read access</t>
        </is>
      </c>
      <c r="G51" s="26" t="inlineStr">
        <is>
          <t>Mobile App Lifecycle and Authentication</t>
        </is>
      </c>
      <c r="H51" s="27" t="inlineStr">
        <is>
          <t>Different user logs in while prior user's session remains pending</t>
        </is>
      </c>
      <c r="I51" s="26" t="inlineStr">
        <is>
          <t>P0</t>
        </is>
      </c>
      <c r="J51" s="26" t="inlineStr">
        <is>
          <t>Security / Data Isolation</t>
        </is>
      </c>
      <c r="K51" s="27" t="inlineStr">
        <is>
          <t>RQ-17, RQ-22</t>
        </is>
      </c>
      <c r="L51" s="28" t="n">
        <v>2</v>
      </c>
      <c r="M51" s="27" t="inlineStr"/>
      <c r="N51" s="27" t="inlineStr">
        <is>
          <t>SATE Mobile App; Authentication; Upload Queue</t>
        </is>
      </c>
      <c r="O51" s="27" t="inlineStr">
        <is>
          <t>Verify strict ownership of locally queued sessions.</t>
        </is>
      </c>
      <c r="P51" s="27" t="inlineStr">
        <is>
          <t>User A has a pending local session; User A logs out according to allowed workflow.</t>
        </is>
      </c>
      <c r="Q51" s="27" t="inlineStr">
        <is>
          <t>User A and User B test accounts.</t>
        </is>
      </c>
      <c r="R51" s="27" t="inlineStr">
        <is>
          <t>1. Create pending session as User A.
2. Log out.
3. Log in as User B.
4. Inspect queue/session list.
5. Restore User A and complete upload.</t>
        </is>
      </c>
      <c r="S51" s="27" t="inlineStr">
        <is>
          <t>User B cannot view, play, edit, export, or upload User A's pending session.</t>
        </is>
      </c>
      <c r="T51" s="27" t="inlineStr">
        <is>
          <t>Queue item remains bound to User A. No backend record links it to User B.</t>
        </is>
      </c>
      <c r="U51" s="27" t="inlineStr">
        <is>
          <t>The isolation case. After the switch, a pending take must not land under User B's user_id. Check sate_device_sessions.user_id on whatever eventually uploads.</t>
        </is>
      </c>
      <c r="V51" s="27" t="inlineStr">
        <is>
          <t>Check local access controls, user IDs, session ownership, and final upload ownership.</t>
        </is>
      </c>
      <c r="W51" s="27" t="inlineStr">
        <is>
          <t>No cross-user visibility or upload occurs.</t>
        </is>
      </c>
      <c r="X51" s="26" t="inlineStr">
        <is>
          <t>Not Run</t>
        </is>
      </c>
      <c r="Y51" s="26" t="inlineStr"/>
      <c r="Z51" s="28">
        <f>COUNTIF('Defect Log'!$C$2:$C$500,$A51)</f>
        <v/>
      </c>
      <c r="AA51" s="26" t="inlineStr"/>
      <c r="AB51" s="26" t="inlineStr"/>
      <c r="AC51" s="26" t="inlineStr"/>
      <c r="AD51" s="26" t="inlineStr"/>
    </row>
    <row r="52" ht="58" customHeight="1">
      <c r="A52" s="26" t="inlineStr">
        <is>
          <t>SATE-APP-008</t>
        </is>
      </c>
      <c r="B52" s="26" t="inlineStr">
        <is>
          <t>Deferred - mobile app</t>
        </is>
      </c>
      <c r="C52" s="27" t="inlineStr"/>
      <c r="D52" s="28" t="inlineStr">
        <is>
          <t>End User</t>
        </is>
      </c>
      <c r="E52" s="26" t="inlineStr">
        <is>
          <t>Tester</t>
        </is>
      </c>
      <c r="F52" s="27" t="inlineStr">
        <is>
          <t>Recorder · phone · browser</t>
        </is>
      </c>
      <c r="G52" s="26" t="inlineStr">
        <is>
          <t>Mobile App Lifecycle and Authentication</t>
        </is>
      </c>
      <c r="H52" s="27" t="inlineStr">
        <is>
          <t>App update or reinstall when unsynced sessions exist</t>
        </is>
      </c>
      <c r="I52" s="26" t="inlineStr">
        <is>
          <t>P1</t>
        </is>
      </c>
      <c r="J52" s="26" t="inlineStr">
        <is>
          <t>Recovery / Compatibility</t>
        </is>
      </c>
      <c r="K52" s="27" t="inlineStr">
        <is>
          <t>RQ-04, RQ-19, RQ-22</t>
        </is>
      </c>
      <c r="L52" s="28" t="n">
        <v>3</v>
      </c>
      <c r="M52" s="27" t="inlineStr"/>
      <c r="N52" s="27" t="inlineStr">
        <is>
          <t>SATE Mobile App; Local Storage; App Update</t>
        </is>
      </c>
      <c r="O52" s="27" t="inlineStr">
        <is>
          <t>Verify upgrade behavior and documented reinstall limitations.</t>
        </is>
      </c>
      <c r="P52" s="27" t="inlineStr">
        <is>
          <t>Pending local sessions exist; an update build is available.</t>
        </is>
      </c>
      <c r="Q52" s="27" t="inlineStr">
        <is>
          <t>Two pending sessions.</t>
        </is>
      </c>
      <c r="R52" s="27" t="inlineStr">
        <is>
          <t>1. Create pending sessions.
2. Upgrade the app without uninstalling.
3. Verify queue and upload.
4. Separately test uninstall/reinstall according to approved procedure.
5. Verify warnings and retained/lost data behavior.</t>
        </is>
      </c>
      <c r="S52" s="27" t="inlineStr">
        <is>
          <t>Normal app update preserves sessions. Before uninstall, the app/system provides an appropriate warning if local data will be removed.</t>
        </is>
      </c>
      <c r="T52" s="27" t="inlineStr">
        <is>
          <t>Session identity and ownership remain correct after supported upgrade. No duplicate is created.</t>
        </is>
      </c>
      <c r="U52" s="27" t="inlineStr">
        <is>
          <t>Reinstall loses AsyncStorage but **not** the iOS Keychain — Plaud bindings live in plaud.bind.&lt;sn&gt; with AfterFirstUnlock specifically so they survive uninstall. Reinstall must reconnect, never re-bind.</t>
        </is>
      </c>
      <c r="V52" s="27" t="inlineStr">
        <is>
          <t>Compare queue/session IDs before and after update; document reinstall behavior and final backend records.</t>
        </is>
      </c>
      <c r="W52" s="27" t="inlineStr">
        <is>
          <t>Supported updates preserve data; unsupported destructive actions are clearly warned and do not create false sync states.</t>
        </is>
      </c>
      <c r="X52" s="26" t="inlineStr">
        <is>
          <t>Not Run</t>
        </is>
      </c>
      <c r="Y52" s="26" t="inlineStr"/>
      <c r="Z52" s="28">
        <f>COUNTIF('Defect Log'!$C$2:$C$500,$A52)</f>
        <v/>
      </c>
      <c r="AA52" s="26" t="inlineStr"/>
      <c r="AB52" s="26" t="inlineStr"/>
      <c r="AC52" s="26" t="inlineStr"/>
      <c r="AD52" s="26" t="inlineStr"/>
    </row>
    <row r="53" ht="58" customHeight="1">
      <c r="A53" s="23" t="inlineStr">
        <is>
          <t>SATE-BE-001</t>
        </is>
      </c>
      <c r="B53" s="24" t="inlineStr">
        <is>
          <t>In scope</t>
        </is>
      </c>
      <c r="C53" s="25" t="inlineStr"/>
      <c r="D53" s="9" t="inlineStr">
        <is>
          <t>Server Side</t>
        </is>
      </c>
      <c r="E53" s="24" t="inlineStr">
        <is>
          <t>Engineer</t>
        </is>
      </c>
      <c r="F53" s="25" t="inlineStr">
        <is>
          <t>Supabase SQL + Storage · cf-processor logs</t>
        </is>
      </c>
      <c r="G53" s="24" t="inlineStr">
        <is>
          <t>Backend, Retry, and AI Processing</t>
        </is>
      </c>
      <c r="H53" s="25" t="inlineStr">
        <is>
          <t>Standard backend status progression and result persistence</t>
        </is>
      </c>
      <c r="I53" s="24" t="inlineStr">
        <is>
          <t>P0</t>
        </is>
      </c>
      <c r="J53" s="24" t="inlineStr">
        <is>
          <t>Integration / Functional</t>
        </is>
      </c>
      <c r="K53" s="25" t="inlineStr">
        <is>
          <t>RQ-01, RQ-02, RQ-20</t>
        </is>
      </c>
      <c r="L53" s="9" t="n">
        <v>3</v>
      </c>
      <c r="M53" s="25" t="inlineStr">
        <is>
          <t>RQ-20</t>
        </is>
      </c>
      <c r="N53" s="25" t="inlineStr">
        <is>
          <t>Supabase Postgres; Edge Functions; Cloudflare; AI service</t>
        </is>
      </c>
      <c r="O53" s="25" t="inlineStr">
        <is>
          <t>Verify normal service-to-service orchestration.</t>
        </is>
      </c>
      <c r="P53" s="25" t="inlineStr">
        <is>
          <t>A valid uploaded audio session exists; all services are healthy.</t>
        </is>
      </c>
      <c r="Q53" s="25" t="inlineStr">
        <is>
          <t>One 5-minute audio session.</t>
        </is>
      </c>
      <c r="R53" s="25" t="inlineStr">
        <is>
          <t>1. Submit the session for processing.
2. Trace status and request IDs across services.
3. Wait for result.
4. Refresh Web App.</t>
        </is>
      </c>
      <c r="S53" s="25" t="inlineStr">
        <is>
          <t>Web App progresses through Processing to Completed and shows the result once.</t>
        </is>
      </c>
      <c r="T53" s="25" t="inlineStr">
        <is>
          <t>Status transitions are valid; one AI request/result is linked to the correct session; result JSON is persisted atomically.</t>
        </is>
      </c>
      <c r="U53" s="25" t="inlineStr">
        <is>
          <t>The reference case for the state machine. queued → processing → done, with processing_started_at, worker_id, heartbeat_at stamped on claim. New rows default to queued (a column default, so device-api needs no change to enqueue).</t>
        </is>
      </c>
      <c r="V53" s="25" t="inlineStr">
        <is>
          <t>Check timestamps, request IDs, attempt count, status history, JSON schema, and session-result linkage.</t>
        </is>
      </c>
      <c r="W53" s="25" t="inlineStr">
        <is>
          <t>One complete result is stored and exposed with no missing, duplicate, or out-of-order terminal state.</t>
        </is>
      </c>
      <c r="X53" s="24" t="inlineStr">
        <is>
          <t>Not Run</t>
        </is>
      </c>
      <c r="Y53" s="24" t="inlineStr"/>
      <c r="Z53" s="9">
        <f>COUNTIF('Defect Log'!$C$2:$C$500,$A53)</f>
        <v/>
      </c>
      <c r="AA53" s="24" t="inlineStr"/>
      <c r="AB53" s="24" t="inlineStr"/>
      <c r="AC53" s="24" t="inlineStr"/>
      <c r="AD53" s="24" t="inlineStr"/>
    </row>
    <row r="54" ht="58" customHeight="1">
      <c r="A54" s="23" t="inlineStr">
        <is>
          <t>SATE-BE-002</t>
        </is>
      </c>
      <c r="B54" s="24" t="inlineStr">
        <is>
          <t>In scope</t>
        </is>
      </c>
      <c r="C54" s="25" t="inlineStr"/>
      <c r="D54" s="9" t="inlineStr">
        <is>
          <t>Server Side</t>
        </is>
      </c>
      <c r="E54" s="24" t="inlineStr">
        <is>
          <t>Engineer</t>
        </is>
      </c>
      <c r="F54" s="25" t="inlineStr">
        <is>
          <t>Supabase SQL + Storage · cf-processor logs · AI fault injection — force a single 500</t>
        </is>
      </c>
      <c r="G54" s="24" t="inlineStr">
        <is>
          <t>Backend, Retry, and AI Processing</t>
        </is>
      </c>
      <c r="H54" s="25" t="inlineStr">
        <is>
          <t>AI service returns 500 once, then succeeds</t>
        </is>
      </c>
      <c r="I54" s="24" t="inlineStr">
        <is>
          <t>P0</t>
        </is>
      </c>
      <c r="J54" s="24" t="inlineStr">
        <is>
          <t>Retry / Integration</t>
        </is>
      </c>
      <c r="K54" s="25" t="inlineStr">
        <is>
          <t>RQ-11</t>
        </is>
      </c>
      <c r="L54" s="9" t="n">
        <v>1</v>
      </c>
      <c r="M54" s="25" t="inlineStr">
        <is>
          <t>RQ-11</t>
        </is>
      </c>
      <c r="N54" s="25" t="inlineStr">
        <is>
          <t>Cloudflare; AI service; Edge Functions</t>
        </is>
      </c>
      <c r="O54" s="25" t="inlineStr">
        <is>
          <t>Verify retry on a transient 5xx error.</t>
        </is>
      </c>
      <c r="P54" s="25" t="inlineStr">
        <is>
          <t>Fault injection can return 500 on the first AI attempt and success on the second.</t>
        </is>
      </c>
      <c r="Q54" s="25" t="inlineStr">
        <is>
          <t>Valid audio session.</t>
        </is>
      </c>
      <c r="R54" s="25" t="inlineStr">
        <is>
          <t>1. Submit processing.
2. Return 500 on attempt 1.
3. Return a valid result on attempt 2.
4. Inspect attempt logs and final session.</t>
        </is>
      </c>
      <c r="S54" s="25" t="inlineStr">
        <is>
          <t>Web App may remain Processing or show a non-terminal retry message, then reaches Completed.</t>
        </is>
      </c>
      <c r="T54" s="25" t="inlineStr">
        <is>
          <t>Exactly two processing attempts occur; both reference the same session; one final result is committed.</t>
        </is>
      </c>
      <c r="U54" s="25" t="inlineStr">
        <is>
          <t>A 5xx is classified transient → requeue_session with backoff → attempts becomes 2 → next claim succeeds → done. Confirm exactly one recordings row, not two.</t>
        </is>
      </c>
      <c r="V54" s="25" t="inlineStr">
        <is>
          <t>Verify retry count, backoff timing, request/session IDs, single final result, and no duplicate report.</t>
        </is>
      </c>
      <c r="W54" s="25" t="inlineStr">
        <is>
          <t>Transient 5xx is retried according to policy and the session completes once.</t>
        </is>
      </c>
      <c r="X54" s="24" t="inlineStr">
        <is>
          <t>Not Run</t>
        </is>
      </c>
      <c r="Y54" s="24" t="inlineStr"/>
      <c r="Z54" s="9">
        <f>COUNTIF('Defect Log'!$C$2:$C$500,$A54)</f>
        <v/>
      </c>
      <c r="AA54" s="24" t="inlineStr"/>
      <c r="AB54" s="24" t="inlineStr"/>
      <c r="AC54" s="24" t="inlineStr"/>
      <c r="AD54" s="24" t="inlineStr"/>
    </row>
    <row r="55" ht="58" customHeight="1">
      <c r="A55" s="23" t="inlineStr">
        <is>
          <t>SATE-BE-003</t>
        </is>
      </c>
      <c r="B55" s="24" t="inlineStr">
        <is>
          <t>In scope</t>
        </is>
      </c>
      <c r="C55" s="25" t="inlineStr"/>
      <c r="D55" s="9" t="inlineStr">
        <is>
          <t>Server Side</t>
        </is>
      </c>
      <c r="E55" s="24" t="inlineStr">
        <is>
          <t>Engineer</t>
        </is>
      </c>
      <c r="F55" s="25" t="inlineStr">
        <is>
          <t>Supabase SQL + Storage · cf-processor logs · AI fault injection — force 5xx on every attempt</t>
        </is>
      </c>
      <c r="G55" s="24" t="inlineStr">
        <is>
          <t>Backend, Retry, and AI Processing</t>
        </is>
      </c>
      <c r="H55" s="25" t="inlineStr">
        <is>
          <t>AI service returns 5xx on all three allowed attempts</t>
        </is>
      </c>
      <c r="I55" s="24" t="inlineStr">
        <is>
          <t>P0</t>
        </is>
      </c>
      <c r="J55" s="24" t="inlineStr">
        <is>
          <t>Retry / Negative</t>
        </is>
      </c>
      <c r="K55" s="25" t="inlineStr">
        <is>
          <t>RQ-11, RQ-13</t>
        </is>
      </c>
      <c r="L55" s="9" t="n">
        <v>2</v>
      </c>
      <c r="M55" s="25" t="inlineStr">
        <is>
          <t>RQ-11, RQ-13</t>
        </is>
      </c>
      <c r="N55" s="25" t="inlineStr">
        <is>
          <t>Cloudflare; AI service; Edge Functions; Web App</t>
        </is>
      </c>
      <c r="O55" s="25" t="inlineStr">
        <is>
          <t>Verify maximum retry count and final failure handling.</t>
        </is>
      </c>
      <c r="P55" s="25" t="inlineStr">
        <is>
          <t>Fault injection returns 5xx for every attempt.</t>
        </is>
      </c>
      <c r="Q55" s="25" t="inlineStr">
        <is>
          <t>Valid audio session.</t>
        </is>
      </c>
      <c r="R55" s="25" t="inlineStr">
        <is>
          <t>1. Submit processing.
2. Return 5xx three times.
3. Observe retry timing.
4. Inspect final status.
5. Use manual reprocess if supported.</t>
        </is>
      </c>
      <c r="S55" s="25" t="inlineStr">
        <is>
          <t>After the allowed attempts, the session shows a clear Failed/Retry Available state rather than indefinite Processing.</t>
        </is>
      </c>
      <c r="T55" s="25" t="inlineStr">
        <is>
          <t>No fourth automatic attempt occurs. Audio remains available for manual reprocess. Failure reason and attempts are logged.</t>
        </is>
      </c>
      <c r="U55" s="25" t="inlineStr">
        <is>
          <t>MAX_ATTEMPTS is 3. After the third the session settles error with process_error set. It must NOT loop. The status worker (sate-status, 5-minute cron) emails the operator **once** for a settled error, since it cannot auto-clear; only active conditions re-remind, at most every 24 h.</t>
        </is>
      </c>
      <c r="V55" s="25" t="inlineStr">
        <is>
          <t>Verify exactly three automatic attempts, terminal status, retained audio, no result duplication, and manual retry behavior if enabled.</t>
        </is>
      </c>
      <c r="W55" s="25" t="inlineStr">
        <is>
          <t>Retry limit is enforced and the session remains recoverable without data loss.</t>
        </is>
      </c>
      <c r="X55" s="24" t="inlineStr">
        <is>
          <t>Not Run</t>
        </is>
      </c>
      <c r="Y55" s="24" t="inlineStr"/>
      <c r="Z55" s="9">
        <f>COUNTIF('Defect Log'!$C$2:$C$500,$A55)</f>
        <v/>
      </c>
      <c r="AA55" s="24" t="inlineStr"/>
      <c r="AB55" s="24" t="inlineStr"/>
      <c r="AC55" s="24" t="inlineStr"/>
      <c r="AD55" s="24" t="inlineStr"/>
    </row>
    <row r="56" ht="58" customHeight="1">
      <c r="A56" s="23" t="inlineStr">
        <is>
          <t>SATE-BE-004</t>
        </is>
      </c>
      <c r="B56" s="24" t="inlineStr">
        <is>
          <t>In scope</t>
        </is>
      </c>
      <c r="C56" s="25" t="inlineStr"/>
      <c r="D56" s="9" t="inlineStr">
        <is>
          <t>Server Side</t>
        </is>
      </c>
      <c r="E56" s="24" t="inlineStr">
        <is>
          <t>Engineer</t>
        </is>
      </c>
      <c r="F56" s="25" t="inlineStr">
        <is>
          <t>Supabase SQL + Storage · cf-processor logs · AI fault injection — force a 4xx</t>
        </is>
      </c>
      <c r="G56" s="24" t="inlineStr">
        <is>
          <t>Backend, Retry, and AI Processing</t>
        </is>
      </c>
      <c r="H56" s="25" t="inlineStr">
        <is>
          <t>AI service returns a non-retryable 4xx error</t>
        </is>
      </c>
      <c r="I56" s="24" t="inlineStr">
        <is>
          <t>P0</t>
        </is>
      </c>
      <c r="J56" s="24" t="inlineStr">
        <is>
          <t>Negative / Retry Policy</t>
        </is>
      </c>
      <c r="K56" s="25" t="inlineStr">
        <is>
          <t>RQ-12, RQ-13</t>
        </is>
      </c>
      <c r="L56" s="9" t="n">
        <v>2</v>
      </c>
      <c r="M56" s="25" t="inlineStr">
        <is>
          <t>RQ-12, RQ-13</t>
        </is>
      </c>
      <c r="N56" s="25" t="inlineStr">
        <is>
          <t>Cloudflare; AI service; Edge Functions</t>
        </is>
      </c>
      <c r="O56" s="25" t="inlineStr">
        <is>
          <t>Verify that client/data errors are not blindly retried as transient failures.</t>
        </is>
      </c>
      <c r="P56" s="25" t="inlineStr">
        <is>
          <t>Fault injection can return a representative 4xx response.</t>
        </is>
      </c>
      <c r="Q56" s="25" t="inlineStr">
        <is>
          <t>Valid or intentionally invalid request.</t>
        </is>
      </c>
      <c r="R56" s="25" t="inlineStr">
        <is>
          <t>1. Submit processing.
2. Return the selected 4xx response.
3. Observe attempts and final status.
4. Correct the issue if possible and manually reprocess.</t>
        </is>
      </c>
      <c r="S56" s="25" t="inlineStr">
        <is>
          <t>The UI shows a clear processing failure or action required.</t>
        </is>
      </c>
      <c r="T56" s="25" t="inlineStr">
        <is>
          <t>Automatic retry follows the documented 4xx policy, normally no repeated blind retries. Error details are logged safely.</t>
        </is>
      </c>
      <c r="U56" s="25" t="inlineStr">
        <is>
          <t>4xx is permanent → fail_session immediately, no retry. attempts should not climb.</t>
        </is>
      </c>
      <c r="V56" s="25" t="inlineStr">
        <is>
          <t>Verify attempt count, error classification, retained audio, and absence of duplicate jobs.</t>
        </is>
      </c>
      <c r="W56" s="25" t="inlineStr">
        <is>
          <t>Non-retryable errors are classified correctly and do not consume three unnecessary attempts.</t>
        </is>
      </c>
      <c r="X56" s="24" t="inlineStr">
        <is>
          <t>Not Run</t>
        </is>
      </c>
      <c r="Y56" s="24" t="inlineStr"/>
      <c r="Z56" s="9">
        <f>COUNTIF('Defect Log'!$C$2:$C$500,$A56)</f>
        <v/>
      </c>
      <c r="AA56" s="24" t="inlineStr"/>
      <c r="AB56" s="24" t="inlineStr"/>
      <c r="AC56" s="24" t="inlineStr"/>
      <c r="AD56" s="24" t="inlineStr"/>
    </row>
    <row r="57" ht="58" customHeight="1">
      <c r="A57" s="23" t="inlineStr">
        <is>
          <t>SATE-BE-005</t>
        </is>
      </c>
      <c r="B57" s="24" t="inlineStr">
        <is>
          <t>In scope</t>
        </is>
      </c>
      <c r="C57" s="25" t="inlineStr"/>
      <c r="D57" s="9" t="inlineStr">
        <is>
          <t>Server Side</t>
        </is>
      </c>
      <c r="E57" s="24" t="inlineStr">
        <is>
          <t>Engineer</t>
        </is>
      </c>
      <c r="F57" s="25" t="inlineStr">
        <is>
          <t>Supabase SQL + Storage · cf-processor logs · AI fault injection — force a timeout</t>
        </is>
      </c>
      <c r="G57" s="24" t="inlineStr">
        <is>
          <t>Backend, Retry, and AI Processing</t>
        </is>
      </c>
      <c r="H57" s="25" t="inlineStr">
        <is>
          <t>AI request times out, then succeeds</t>
        </is>
      </c>
      <c r="I57" s="24" t="inlineStr">
        <is>
          <t>P0</t>
        </is>
      </c>
      <c r="J57" s="24" t="inlineStr">
        <is>
          <t>Timeout / Retry</t>
        </is>
      </c>
      <c r="K57" s="25" t="inlineStr">
        <is>
          <t>RQ-11, RQ-20</t>
        </is>
      </c>
      <c r="L57" s="9" t="n">
        <v>2</v>
      </c>
      <c r="M57" s="25" t="inlineStr">
        <is>
          <t>RQ-11, RQ-20</t>
        </is>
      </c>
      <c r="N57" s="25" t="inlineStr">
        <is>
          <t>Cloudflare; AI service; Edge Functions</t>
        </is>
      </c>
      <c r="O57" s="25" t="inlineStr">
        <is>
          <t>Verify timeout detection, retry, and idempotent completion.</t>
        </is>
      </c>
      <c r="P57" s="25" t="inlineStr">
        <is>
          <t>First AI attempt is delayed beyond the configured timeout; second returns normally.</t>
        </is>
      </c>
      <c r="Q57" s="25" t="inlineStr">
        <is>
          <t>Valid audio session.</t>
        </is>
      </c>
      <c r="R57" s="25" t="inlineStr">
        <is>
          <t>1. Submit processing.
2. Delay response past timeout.
3. Allow retry.
4. Return a valid result.
5. Inspect late response handling.</t>
        </is>
      </c>
      <c r="S57" s="25" t="inlineStr">
        <is>
          <t>Session eventually reaches Completed without showing two results.</t>
        </is>
      </c>
      <c r="T57" s="25" t="inlineStr">
        <is>
          <t>Timed-out and late responses are handled idempotently; one final result is accepted.</t>
        </is>
      </c>
      <c r="U57" s="25" t="inlineStr">
        <is>
          <t>Timeout is transient. Note AI_READ_TIMEOUT_S = 3600 s — the container holds a long call rather than timing out early; it will not hang forever on an up-but-dead AI.</t>
        </is>
      </c>
      <c r="V57" s="25" t="inlineStr">
        <is>
          <t>Verify attempt count, timeout duration, late-response disposition, result count, and final status.</t>
        </is>
      </c>
      <c r="W57" s="25" t="inlineStr">
        <is>
          <t>Timeout recovery yields one correct result and no duplicate or conflicting terminal state.</t>
        </is>
      </c>
      <c r="X57" s="24" t="inlineStr">
        <is>
          <t>Not Run</t>
        </is>
      </c>
      <c r="Y57" s="24" t="inlineStr"/>
      <c r="Z57" s="9">
        <f>COUNTIF('Defect Log'!$C$2:$C$500,$A57)</f>
        <v/>
      </c>
      <c r="AA57" s="24" t="inlineStr"/>
      <c r="AB57" s="24" t="inlineStr"/>
      <c r="AC57" s="24" t="inlineStr"/>
      <c r="AD57" s="24" t="inlineStr"/>
    </row>
    <row r="58" ht="58" customHeight="1">
      <c r="A58" s="23" t="inlineStr">
        <is>
          <t>SATE-BE-006</t>
        </is>
      </c>
      <c r="B58" s="24" t="inlineStr">
        <is>
          <t>In scope</t>
        </is>
      </c>
      <c r="C58" s="25" t="inlineStr"/>
      <c r="D58" s="9" t="inlineStr">
        <is>
          <t>Server Side</t>
        </is>
      </c>
      <c r="E58" s="24" t="inlineStr">
        <is>
          <t>Engineer</t>
        </is>
      </c>
      <c r="F58" s="25" t="inlineStr">
        <is>
          <t>Supabase SQL + Storage · cf-processor logs · AI fault injection — return malformed JSON</t>
        </is>
      </c>
      <c r="G58" s="24" t="inlineStr">
        <is>
          <t>Backend, Retry, and AI Processing</t>
        </is>
      </c>
      <c r="H58" s="25" t="inlineStr">
        <is>
          <t>AI returns malformed JSON</t>
        </is>
      </c>
      <c r="I58" s="24" t="inlineStr">
        <is>
          <t>P0</t>
        </is>
      </c>
      <c r="J58" s="24" t="inlineStr">
        <is>
          <t>Schema Validation / Negative</t>
        </is>
      </c>
      <c r="K58" s="25" t="inlineStr">
        <is>
          <t>RQ-14</t>
        </is>
      </c>
      <c r="L58" s="9" t="n">
        <v>1</v>
      </c>
      <c r="M58" s="25" t="inlineStr"/>
      <c r="N58" s="25" t="inlineStr">
        <is>
          <t>AI service; Cloudflare; Edge Functions; Supabase</t>
        </is>
      </c>
      <c r="O58" s="25" t="inlineStr">
        <is>
          <t>Verify validation before storing or displaying AI output.</t>
        </is>
      </c>
      <c r="P58" s="25" t="inlineStr">
        <is>
          <t>AI response can be replaced with invalid JSON.</t>
        </is>
      </c>
      <c r="Q58" s="25" t="inlineStr">
        <is>
          <t>Valid audio session.</t>
        </is>
      </c>
      <c r="R58" s="25" t="inlineStr">
        <is>
          <t>1. Submit processing.
2. Return malformed JSON.
3. Observe backend and Web App.
4. Inspect stored data and logs.</t>
        </is>
      </c>
      <c r="S58" s="25" t="inlineStr">
        <is>
          <t>Web App shows a controlled processing error, not a broken page or raw stack trace.</t>
        </is>
      </c>
      <c r="T58" s="25" t="inlineStr">
        <is>
          <t>Malformed payload is rejected or quarantined; no invalid transcript/annotation is committed as Completed.</t>
        </is>
      </c>
      <c r="U58" s="25" t="inlineStr">
        <is>
          <t>Non-JSON body → Permanent("AI returned a non-JSON body"). No retry, no partial recordings row.</t>
        </is>
      </c>
      <c r="V58" s="25" t="inlineStr">
        <is>
          <t>Verify JSON parsing failure, terminal/retryable status, retained audio, safe logs, and absence of partial corrupt data.</t>
        </is>
      </c>
      <c r="W58" s="25" t="inlineStr">
        <is>
          <t>Invalid JSON cannot create a Completed session or break the Web App.</t>
        </is>
      </c>
      <c r="X58" s="24" t="inlineStr">
        <is>
          <t>Not Run</t>
        </is>
      </c>
      <c r="Y58" s="24" t="inlineStr"/>
      <c r="Z58" s="9">
        <f>COUNTIF('Defect Log'!$C$2:$C$500,$A58)</f>
        <v/>
      </c>
      <c r="AA58" s="24" t="inlineStr"/>
      <c r="AB58" s="24" t="inlineStr"/>
      <c r="AC58" s="24" t="inlineStr"/>
      <c r="AD58" s="24" t="inlineStr"/>
    </row>
    <row r="59" ht="58" customHeight="1">
      <c r="A59" s="23" t="inlineStr">
        <is>
          <t>SATE-BE-007</t>
        </is>
      </c>
      <c r="B59" s="24" t="inlineStr">
        <is>
          <t>In scope</t>
        </is>
      </c>
      <c r="C59" s="25" t="inlineStr"/>
      <c r="D59" s="9" t="inlineStr">
        <is>
          <t>Server Side</t>
        </is>
      </c>
      <c r="E59" s="24" t="inlineStr">
        <is>
          <t>Engineer</t>
        </is>
      </c>
      <c r="F59" s="25" t="inlineStr">
        <is>
          <t>Supabase SQL + Storage · cf-processor logs · AI fault injection — return JSON missing required fields</t>
        </is>
      </c>
      <c r="G59" s="24" t="inlineStr">
        <is>
          <t>Backend, Retry, and AI Processing</t>
        </is>
      </c>
      <c r="H59" s="25" t="inlineStr">
        <is>
          <t>AI returns valid JSON with missing or partial required fields</t>
        </is>
      </c>
      <c r="I59" s="24" t="inlineStr">
        <is>
          <t>P0</t>
        </is>
      </c>
      <c r="J59" s="24" t="inlineStr">
        <is>
          <t>Schema Validation / Partial Result</t>
        </is>
      </c>
      <c r="K59" s="25" t="inlineStr">
        <is>
          <t>RQ-14</t>
        </is>
      </c>
      <c r="L59" s="9" t="n">
        <v>1</v>
      </c>
      <c r="M59" s="25" t="inlineStr"/>
      <c r="N59" s="25" t="inlineStr">
        <is>
          <t>AI service; Edge Functions; Supabase; Web App</t>
        </is>
      </c>
      <c r="O59" s="25" t="inlineStr">
        <is>
          <t>Verify documented handling of partial AI output.</t>
        </is>
      </c>
      <c r="P59" s="25" t="inlineStr">
        <is>
          <t>AI response can omit transcript, annotation, confidence, or metadata fields.</t>
        </is>
      </c>
      <c r="Q59" s="25" t="inlineStr">
        <is>
          <t>Several controlled partial-response variants.</t>
        </is>
      </c>
      <c r="R59" s="25" t="inlineStr">
        <is>
          <t>1. Submit each variant.
2. Review validation and status.
3. Open the session in Web App.
4. Attempt report export.</t>
        </is>
      </c>
      <c r="S59" s="25" t="inlineStr">
        <is>
          <t>UI shows available data and an explicit Partial/Failed state according to requirement. Missing fields do not crash the page.</t>
        </is>
      </c>
      <c r="T59" s="25" t="inlineStr">
        <is>
          <t>Required-field validation is enforced. Partial results are stored only under the documented schema/state.</t>
        </is>
      </c>
      <c r="U59" s="25" t="inlineStr">
        <is>
          <t>Missing segments → Permanent("AI returned no segments"). Partial-field handling is RQ-14 and still unsettled — record what the pipeline does rather than asserting.</t>
        </is>
      </c>
      <c r="V59" s="25" t="inlineStr">
        <is>
          <t>Check schema, status, report behavior, field defaults, and absence of fabricated values.</t>
        </is>
      </c>
      <c r="W59" s="25" t="inlineStr">
        <is>
          <t>Partial output is handled consistently and never misrepresented as a complete valid report.</t>
        </is>
      </c>
      <c r="X59" s="24" t="inlineStr">
        <is>
          <t>Not Run</t>
        </is>
      </c>
      <c r="Y59" s="24" t="inlineStr"/>
      <c r="Z59" s="9">
        <f>COUNTIF('Defect Log'!$C$2:$C$500,$A59)</f>
        <v/>
      </c>
      <c r="AA59" s="24" t="inlineStr"/>
      <c r="AB59" s="24" t="inlineStr"/>
      <c r="AC59" s="24" t="inlineStr"/>
      <c r="AD59" s="24" t="inlineStr"/>
    </row>
    <row r="60" ht="58" customHeight="1">
      <c r="A60" s="23" t="inlineStr">
        <is>
          <t>SATE-BE-008</t>
        </is>
      </c>
      <c r="B60" s="24" t="inlineStr">
        <is>
          <t>In scope</t>
        </is>
      </c>
      <c r="C60" s="25" t="inlineStr"/>
      <c r="D60" s="9" t="inlineStr">
        <is>
          <t>Server Side</t>
        </is>
      </c>
      <c r="E60" s="24" t="inlineStr">
        <is>
          <t>Engineer</t>
        </is>
      </c>
      <c r="F60" s="25" t="inlineStr">
        <is>
          <t>Supabase SQL + Storage · cf-processor logs · Ability to replay a result callback</t>
        </is>
      </c>
      <c r="G60" s="24" t="inlineStr">
        <is>
          <t>Backend, Retry, and AI Processing</t>
        </is>
      </c>
      <c r="H60" s="25" t="inlineStr">
        <is>
          <t>Duplicate AI callback or duplicate result submission</t>
        </is>
      </c>
      <c r="I60" s="24" t="inlineStr">
        <is>
          <t>P0</t>
        </is>
      </c>
      <c r="J60" s="24" t="inlineStr">
        <is>
          <t>Idempotency / Integration</t>
        </is>
      </c>
      <c r="K60" s="25" t="inlineStr">
        <is>
          <t>RQ-03, RQ-14</t>
        </is>
      </c>
      <c r="L60" s="9" t="n">
        <v>2</v>
      </c>
      <c r="M60" s="25" t="inlineStr"/>
      <c r="N60" s="25" t="inlineStr">
        <is>
          <t>AI service; Cloudflare; Edge Functions; Supabase</t>
        </is>
      </c>
      <c r="O60" s="25" t="inlineStr">
        <is>
          <t>Verify safe handling of repeated identical results.</t>
        </is>
      </c>
      <c r="P60" s="25" t="inlineStr">
        <is>
          <t>A valid AI result can be submitted twice for the same attempt/session.</t>
        </is>
      </c>
      <c r="Q60" s="25" t="inlineStr">
        <is>
          <t>One completed processing result delivered twice.</t>
        </is>
      </c>
      <c r="R60" s="25" t="inlineStr">
        <is>
          <t>1. Process a session normally.
2. Replay the same callback/result.
3. Refresh the Web App and inspect database.</t>
        </is>
      </c>
      <c r="S60" s="25" t="inlineStr">
        <is>
          <t>The user still sees one result and one report version unless versioning explicitly records duplicates as audit events.</t>
        </is>
      </c>
      <c r="T60" s="25" t="inlineStr">
        <is>
          <t>Duplicate result is ignored, merged, or recorded idempotently; no second transcript or terminal state is created.</t>
        </is>
      </c>
      <c r="U60" s="25" t="inlineStr">
        <is>
          <t>⚠️ **The dangerous one.** process-device-session must be a **200 no-op** in production; device-api still fire-and-forgets to it, but if it actually processes, it races the container and duplicates recordings. **The copy checked into this repo is NOT the no-op** — it still downloads the WAV, awaits the AI, and inserts recordings, filtering on processed=false while the container claims on status, so both would process the same session. Production is deployed as the no-op. **Do not deploy the repo file as-is.** If you see duplicate recordings in this case, check what is actually deployed before filing anything.</t>
        </is>
      </c>
      <c r="V60" s="25" t="inlineStr">
        <is>
          <t>Count result rows, annotations, report records, status history, and visible sessions.</t>
        </is>
      </c>
      <c r="W60" s="25" t="inlineStr">
        <is>
          <t>Duplicate callbacks do not duplicate user-visible data or overwrite a newer valid result.</t>
        </is>
      </c>
      <c r="X60" s="24" t="inlineStr">
        <is>
          <t>Not Run</t>
        </is>
      </c>
      <c r="Y60" s="24" t="inlineStr"/>
      <c r="Z60" s="9">
        <f>COUNTIF('Defect Log'!$C$2:$C$500,$A60)</f>
        <v/>
      </c>
      <c r="AA60" s="24" t="inlineStr"/>
      <c r="AB60" s="24" t="inlineStr"/>
      <c r="AC60" s="24" t="inlineStr"/>
      <c r="AD60" s="24" t="inlineStr"/>
    </row>
    <row r="61" ht="58" customHeight="1">
      <c r="A61" s="23" t="inlineStr">
        <is>
          <t>SATE-BE-009</t>
        </is>
      </c>
      <c r="B61" s="24" t="inlineStr">
        <is>
          <t>In scope</t>
        </is>
      </c>
      <c r="C61" s="25" t="inlineStr"/>
      <c r="D61" s="9" t="inlineStr">
        <is>
          <t>Server Side</t>
        </is>
      </c>
      <c r="E61" s="24" t="inlineStr">
        <is>
          <t>Engineer</t>
        </is>
      </c>
      <c r="F61" s="25" t="inlineStr">
        <is>
          <t>Supabase SQL + Storage · cf-processor logs</t>
        </is>
      </c>
      <c r="G61" s="24" t="inlineStr">
        <is>
          <t>Backend, Retry, and AI Processing</t>
        </is>
      </c>
      <c r="H61" s="25" t="inlineStr">
        <is>
          <t>Out-of-order status updates or late responses</t>
        </is>
      </c>
      <c r="I61" s="24" t="inlineStr">
        <is>
          <t>P0</t>
        </is>
      </c>
      <c r="J61" s="24" t="inlineStr">
        <is>
          <t>Concurrency / State Machine</t>
        </is>
      </c>
      <c r="K61" s="25" t="inlineStr">
        <is>
          <t>RQ-01, RQ-02</t>
        </is>
      </c>
      <c r="L61" s="9" t="n">
        <v>2</v>
      </c>
      <c r="M61" s="25" t="inlineStr"/>
      <c r="N61" s="25" t="inlineStr">
        <is>
          <t>Edge Functions; Cloudflare; AI service; Supabase</t>
        </is>
      </c>
      <c r="O61" s="25" t="inlineStr">
        <is>
          <t>Verify that stale events cannot regress a completed session.</t>
        </is>
      </c>
      <c r="P61" s="25" t="inlineStr">
        <is>
          <t>Test harness can deliver Processing, Failed, and Completed events out of order.</t>
        </is>
      </c>
      <c r="Q61" s="25" t="inlineStr">
        <is>
          <t>One session with controlled event ordering.</t>
        </is>
      </c>
      <c r="R61" s="25" t="inlineStr">
        <is>
          <t>1. Send Completed result.
2. Send a delayed Processing or Failed event from an older attempt.
3. Refresh Web App.
4. Inspect status history.</t>
        </is>
      </c>
      <c r="S61" s="25" t="inlineStr">
        <is>
          <t>Completed session remains Completed unless a newer authorized operation changes it.</t>
        </is>
      </c>
      <c r="T61" s="25" t="inlineStr">
        <is>
          <t>State machine rejects stale transitions using attempt/version/timestamp rules.</t>
        </is>
      </c>
      <c r="U61" s="25" t="inlineStr">
        <is>
          <t>Late/out-of-order updates. The container heartbeats during a long job so the watchdog cannot steal work still running; requeue_stale_sessions only reclaims rows whose heartbeat_at/started_at is older than STUCK_MINUTES (45). A late response arriving for an already-requeued session must not resurrect it.</t>
        </is>
      </c>
      <c r="V61" s="25" t="inlineStr">
        <is>
          <t>Verify final status, event order, attempt IDs, version numbers, and unchanged result.</t>
        </is>
      </c>
      <c r="W61" s="25" t="inlineStr">
        <is>
          <t>Older events cannot overwrite or regress a newer valid terminal state.</t>
        </is>
      </c>
      <c r="X61" s="24" t="inlineStr">
        <is>
          <t>Not Run</t>
        </is>
      </c>
      <c r="Y61" s="24" t="inlineStr"/>
      <c r="Z61" s="9">
        <f>COUNTIF('Defect Log'!$C$2:$C$500,$A61)</f>
        <v/>
      </c>
      <c r="AA61" s="24" t="inlineStr"/>
      <c r="AB61" s="24" t="inlineStr"/>
      <c r="AC61" s="24" t="inlineStr"/>
      <c r="AD61" s="24" t="inlineStr"/>
    </row>
    <row r="62" ht="58" customHeight="1">
      <c r="A62" s="23" t="inlineStr">
        <is>
          <t>SATE-BE-010</t>
        </is>
      </c>
      <c r="B62" s="24" t="inlineStr">
        <is>
          <t>In scope</t>
        </is>
      </c>
      <c r="C62" s="25" t="inlineStr"/>
      <c r="D62" s="9" t="inlineStr">
        <is>
          <t>Server Side</t>
        </is>
      </c>
      <c r="E62" s="24" t="inlineStr">
        <is>
          <t>Engineer</t>
        </is>
      </c>
      <c r="F62" s="25" t="inlineStr">
        <is>
          <t>Supabase SQL + Storage · cf-processor logs · Ability to stop/start the Worker or edge function</t>
        </is>
      </c>
      <c r="G62" s="24" t="inlineStr">
        <is>
          <t>Backend, Retry, and AI Processing</t>
        </is>
      </c>
      <c r="H62" s="25" t="inlineStr">
        <is>
          <t>Cloudflare or Edge Function is temporarily unavailable</t>
        </is>
      </c>
      <c r="I62" s="24" t="inlineStr">
        <is>
          <t>P0</t>
        </is>
      </c>
      <c r="J62" s="24" t="inlineStr">
        <is>
          <t>Service Outage / Recovery</t>
        </is>
      </c>
      <c r="K62" s="25" t="inlineStr">
        <is>
          <t>RQ-11, RQ-13, RQ-20</t>
        </is>
      </c>
      <c r="L62" s="9" t="n">
        <v>3</v>
      </c>
      <c r="M62" s="25" t="inlineStr">
        <is>
          <t>RQ-11, RQ-13, RQ-20</t>
        </is>
      </c>
      <c r="N62" s="25" t="inlineStr">
        <is>
          <t>Cloudflare; Edge Functions; Supabase</t>
        </is>
      </c>
      <c r="O62" s="25" t="inlineStr">
        <is>
          <t>Verify durable processing requests during an intermediary outage.</t>
        </is>
      </c>
      <c r="P62" s="25" t="inlineStr">
        <is>
          <t>Audio is uploaded; Cloudflare or Edge Function can be made unavailable.</t>
        </is>
      </c>
      <c r="Q62" s="25" t="inlineStr">
        <is>
          <t>Valid session; temporary outage followed by recovery.</t>
        </is>
      </c>
      <c r="R62" s="25" t="inlineStr">
        <is>
          <t>1. Start processing.
2. Make the intermediary unavailable.
3. Observe status/retries.
4. Restore service.
5. Verify completion.</t>
        </is>
      </c>
      <c r="S62" s="25" t="inlineStr">
        <is>
          <t>Web App shows Processing/Retrying/Failed with clear recovery path, not a blank result.</t>
        </is>
      </c>
      <c r="T62" s="25" t="inlineStr">
        <is>
          <t>Audio and session remain durable. Retry or manual reprocess uses the same session and creates one final result.</t>
        </is>
      </c>
      <c r="U62" s="25" t="inlineStr">
        <is>
          <t>Edge/Worker unavailability must be transient. Reminder for whoever fixes this: the AI call **must never** move back into an edge function or a plain Worker — Supabase edge has a hard ~150 s wall-clock and a Worker a ~100 s origin timeout, and both kill the request mid-fetch *before* any catch block, so process_error is never written and the session hangs in processing forever. A 32-minute take once showed 70 minutes stuck.</t>
        </is>
      </c>
      <c r="V62" s="25" t="inlineStr">
        <is>
          <t>Check request attempts, retained audio, status transitions, result count, and recovery time.</t>
        </is>
      </c>
      <c r="W62" s="25" t="inlineStr">
        <is>
          <t>Temporary service outage does not lose audio, duplicate sessions, or leave an unrecoverable state.</t>
        </is>
      </c>
      <c r="X62" s="24" t="inlineStr">
        <is>
          <t>Not Run</t>
        </is>
      </c>
      <c r="Y62" s="24" t="inlineStr"/>
      <c r="Z62" s="9">
        <f>COUNTIF('Defect Log'!$C$2:$C$500,$A62)</f>
        <v/>
      </c>
      <c r="AA62" s="24" t="inlineStr"/>
      <c r="AB62" s="24" t="inlineStr"/>
      <c r="AC62" s="24" t="inlineStr"/>
      <c r="AD62" s="24" t="inlineStr"/>
    </row>
    <row r="63" ht="58" customHeight="1">
      <c r="A63" s="23" t="inlineStr">
        <is>
          <t>SATE-BE-011</t>
        </is>
      </c>
      <c r="B63" s="24" t="inlineStr">
        <is>
          <t>In scope</t>
        </is>
      </c>
      <c r="C63" s="25" t="inlineStr"/>
      <c r="D63" s="9" t="inlineStr">
        <is>
          <t>Server Side</t>
        </is>
      </c>
      <c r="E63" s="24" t="inlineStr">
        <is>
          <t>Engineer</t>
        </is>
      </c>
      <c r="F63" s="25" t="inlineStr">
        <is>
          <t>Supabase SQL + Storage · cf-processor logs · Ability to fail the database write after a successful upload</t>
        </is>
      </c>
      <c r="G63" s="24" t="inlineStr">
        <is>
          <t>Backend, Retry, and AI Processing</t>
        </is>
      </c>
      <c r="H63" s="25" t="inlineStr">
        <is>
          <t>Audio upload succeeds but database/session update fails</t>
        </is>
      </c>
      <c r="I63" s="24" t="inlineStr">
        <is>
          <t>P0</t>
        </is>
      </c>
      <c r="J63" s="24" t="inlineStr">
        <is>
          <t>Consistency / Recovery</t>
        </is>
      </c>
      <c r="K63" s="25" t="inlineStr">
        <is>
          <t>RQ-02, RQ-03, RQ-04</t>
        </is>
      </c>
      <c r="L63" s="9" t="n">
        <v>3</v>
      </c>
      <c r="M63" s="25" t="inlineStr"/>
      <c r="N63" s="25" t="inlineStr">
        <is>
          <t>Supabase Storage; Postgres; Edge Functions</t>
        </is>
      </c>
      <c r="O63" s="25" t="inlineStr">
        <is>
          <t>Verify reconciliation of storage and database partial success.</t>
        </is>
      </c>
      <c r="P63" s="25" t="inlineStr">
        <is>
          <t>Fault injection allows object upload but fails the subsequent database write.</t>
        </is>
      </c>
      <c r="Q63" s="25" t="inlineStr">
        <is>
          <t>One 5-minute audio upload.</t>
        </is>
      </c>
      <c r="R63" s="25" t="inlineStr">
        <is>
          <t>1. Upload the audio object.
2. Fail the session/status database write.
3. Restore database service.
4. Run automatic reconciliation or retry.
5. Inspect storage and DB.</t>
        </is>
      </c>
      <c r="S63" s="25" t="inlineStr">
        <is>
          <t>User sees a retryable sync state and does not see an unusable ghost session.</t>
        </is>
      </c>
      <c r="T63" s="25" t="inlineStr">
        <is>
          <t>Object and session record are reconciled, or orphan object is safely removed. Processing begins only after consistent metadata exists.</t>
        </is>
      </c>
      <c r="U63" s="25" t="inlineStr">
        <is>
          <t>Upload succeeded, DB update failed — the exact shape that produced ghost rows. There must be no session marked synced without a matching object. GET /api/sessions/verify is the guard: it answers stored:true only when the row exists AND objectExists. It must stay read- only; never make it mutate.</t>
        </is>
      </c>
      <c r="V63" s="25" t="inlineStr">
        <is>
          <t>Check storage object count/path, DB rows, session ID, reconciliation logs, and final result.</t>
        </is>
      </c>
      <c r="W63" s="25" t="inlineStr">
        <is>
          <t>Partial success is repaired without orphaned clinical data, duplicate object, or wrong session linkage.</t>
        </is>
      </c>
      <c r="X63" s="24" t="inlineStr">
        <is>
          <t>Not Run</t>
        </is>
      </c>
      <c r="Y63" s="24" t="inlineStr"/>
      <c r="Z63" s="9">
        <f>COUNTIF('Defect Log'!$C$2:$C$500,$A63)</f>
        <v/>
      </c>
      <c r="AA63" s="24" t="inlineStr"/>
      <c r="AB63" s="24" t="inlineStr"/>
      <c r="AC63" s="24" t="inlineStr"/>
      <c r="AD63" s="24" t="inlineStr"/>
    </row>
    <row r="64" ht="58" customHeight="1">
      <c r="A64" s="23" t="inlineStr">
        <is>
          <t>SATE-BE-012</t>
        </is>
      </c>
      <c r="B64" s="24" t="inlineStr">
        <is>
          <t>In scope</t>
        </is>
      </c>
      <c r="C64" s="25" t="inlineStr"/>
      <c r="D64" s="9" t="inlineStr">
        <is>
          <t>Server Side</t>
        </is>
      </c>
      <c r="E64" s="24" t="inlineStr">
        <is>
          <t>Engineer</t>
        </is>
      </c>
      <c r="F64" s="25" t="inlineStr">
        <is>
          <t>Supabase SQL + Storage · cf-processor logs</t>
        </is>
      </c>
      <c r="G64" s="24" t="inlineStr">
        <is>
          <t>Backend, Retry, and AI Processing</t>
        </is>
      </c>
      <c r="H64" s="25" t="inlineStr">
        <is>
          <t>Manual reprocess after final processing failure</t>
        </is>
      </c>
      <c r="I64" s="24" t="inlineStr">
        <is>
          <t>P0</t>
        </is>
      </c>
      <c r="J64" s="24" t="inlineStr">
        <is>
          <t>Recovery / Functional</t>
        </is>
      </c>
      <c r="K64" s="25" t="inlineStr">
        <is>
          <t>RQ-13</t>
        </is>
      </c>
      <c r="L64" s="9" t="n">
        <v>1</v>
      </c>
      <c r="M64" s="25" t="inlineStr">
        <is>
          <t>RQ-13</t>
        </is>
      </c>
      <c r="N64" s="25" t="inlineStr">
        <is>
          <t>Web App; Edge Functions; Cloudflare; AI service</t>
        </is>
      </c>
      <c r="O64" s="25" t="inlineStr">
        <is>
          <t>Verify authorized reprocessing uses the original audio and session.</t>
        </is>
      </c>
      <c r="P64" s="25" t="inlineStr">
        <is>
          <t>A session is in Failed Final state with retained valid audio.</t>
        </is>
      </c>
      <c r="Q64" s="25" t="inlineStr">
        <is>
          <t>One failed session; authorized user.</t>
        </is>
      </c>
      <c r="R64" s="25" t="inlineStr">
        <is>
          <t>1. Open failed session.
2. Select Reprocess/Retry.
3. Confirm action if required.
4. Allow successful AI response.
5. Review result and audit history.</t>
        </is>
      </c>
      <c r="S64" s="25" t="inlineStr">
        <is>
          <t>User sees one session transition back to Processing and then Completed. Previous failure remains traceable.</t>
        </is>
      </c>
      <c r="T64" s="25" t="inlineStr">
        <is>
          <t>A new processing attempt is linked to the same session/audio. One current final result is exposed; audit history records the retry.</t>
        </is>
      </c>
      <c r="U64" s="25" t="inlineStr">
        <is>
          <t>POST /sessions/:id/retry (device-api ≥v14) re-queues an error session. It accepts **only** error — to re-run anything else (an orphaned processing row, say) an owner must PATCH the row to queued via PostgREST. Note a new container image does not instantly swap the running singleton: an in-flight claim is killed and orphaned in processing until the 45-minute watchdog.</t>
        </is>
      </c>
      <c r="V64" s="25" t="inlineStr">
        <is>
          <t>Verify session ID unchanged, attempt incremented, audio object unchanged, result version/audit, and no duplicate session.</t>
        </is>
      </c>
      <c r="W64" s="25" t="inlineStr">
        <is>
          <t>Manual reprocess successfully recovers the session without re-uploading or duplicating it.</t>
        </is>
      </c>
      <c r="X64" s="24" t="inlineStr">
        <is>
          <t>Not Run</t>
        </is>
      </c>
      <c r="Y64" s="24" t="inlineStr"/>
      <c r="Z64" s="9">
        <f>COUNTIF('Defect Log'!$C$2:$C$500,$A64)</f>
        <v/>
      </c>
      <c r="AA64" s="24" t="inlineStr"/>
      <c r="AB64" s="24" t="inlineStr"/>
      <c r="AC64" s="24" t="inlineStr"/>
      <c r="AD64" s="24" t="inlineStr"/>
    </row>
    <row r="65" ht="58" customHeight="1">
      <c r="A65" s="23" t="inlineStr">
        <is>
          <t>SATE-WEB-001</t>
        </is>
      </c>
      <c r="B65" s="24" t="inlineStr">
        <is>
          <t>In scope</t>
        </is>
      </c>
      <c r="C65" s="25" t="inlineStr"/>
      <c r="D65" s="9" t="inlineStr">
        <is>
          <t>End User</t>
        </is>
      </c>
      <c r="E65" s="24" t="inlineStr">
        <is>
          <t>Tester</t>
        </is>
      </c>
      <c r="F65" s="25" t="inlineStr">
        <is>
          <t>Recorder · phone · browser</t>
        </is>
      </c>
      <c r="G65" s="24" t="inlineStr">
        <is>
          <t>Web Transcript Review</t>
        </is>
      </c>
      <c r="H65" s="25" t="inlineStr">
        <is>
          <t>Open and review a completed transcript</t>
        </is>
      </c>
      <c r="I65" s="24" t="inlineStr">
        <is>
          <t>P0</t>
        </is>
      </c>
      <c r="J65" s="24" t="inlineStr">
        <is>
          <t>Functional</t>
        </is>
      </c>
      <c r="K65" s="25" t="inlineStr">
        <is>
          <t>RQ-15, RQ-17</t>
        </is>
      </c>
      <c r="L65" s="9" t="n">
        <v>2</v>
      </c>
      <c r="M65" s="25" t="inlineStr">
        <is>
          <t>RQ-15</t>
        </is>
      </c>
      <c r="N65" s="25" t="inlineStr">
        <is>
          <t>SATE Web App; Supabase; Audio Player</t>
        </is>
      </c>
      <c r="O65" s="25" t="inlineStr">
        <is>
          <t>Verify normal transcript review and session metadata display.</t>
        </is>
      </c>
      <c r="P65" s="25" t="inlineStr">
        <is>
          <t>A completed session exists and the user has access.</t>
        </is>
      </c>
      <c r="Q65" s="25" t="inlineStr">
        <is>
          <t>Standard 5-minute completed session.</t>
        </is>
      </c>
      <c r="R65" s="25" t="inlineStr">
        <is>
          <t>1. Log in.
2. Open session list.
3. Select the session.
4. Review metadata, audio, transcript, and annotations.
5. Refresh the page.</t>
        </is>
      </c>
      <c r="S65" s="25" t="inlineStr">
        <is>
          <t>Content loads completely; labels are understandable; refresh retains the same session and data.</t>
        </is>
      </c>
      <c r="T65" s="25" t="inlineStr">
        <is>
          <t>Reads return the correct session/result version and authorized audio reference.</t>
        </is>
      </c>
      <c r="U65" s="25" t="inlineStr">
        <is>
          <t>The web report reads recordings.transcript and recordings.analysis. Flag markers (recordings.flags) render as seek-bar ticks — one shared pipeline for the recorder's physical flag button and Plaud's device tap. Don't fork a parallel path.</t>
        </is>
      </c>
      <c r="V65" s="25" t="inlineStr">
        <is>
          <t>Compare displayed user, session ID, date, duration, transcript, annotations, and audio.</t>
        </is>
      </c>
      <c r="W65" s="25" t="inlineStr">
        <is>
          <t>The correct complete session is reviewable without missing, stale, or mismatched content.</t>
        </is>
      </c>
      <c r="X65" s="24" t="inlineStr">
        <is>
          <t>Not Run</t>
        </is>
      </c>
      <c r="Y65" s="24" t="inlineStr"/>
      <c r="Z65" s="9">
        <f>COUNTIF('Defect Log'!$C$2:$C$500,$A65)</f>
        <v/>
      </c>
      <c r="AA65" s="24" t="inlineStr"/>
      <c r="AB65" s="24" t="inlineStr"/>
      <c r="AC65" s="24" t="inlineStr"/>
      <c r="AD65" s="24" t="inlineStr"/>
    </row>
    <row r="66" ht="58" customHeight="1">
      <c r="A66" s="23" t="inlineStr">
        <is>
          <t>SATE-WEB-002</t>
        </is>
      </c>
      <c r="B66" s="24" t="inlineStr">
        <is>
          <t>In scope</t>
        </is>
      </c>
      <c r="C66" s="25" t="inlineStr"/>
      <c r="D66" s="9" t="inlineStr">
        <is>
          <t>End User</t>
        </is>
      </c>
      <c r="E66" s="24" t="inlineStr">
        <is>
          <t>Tester</t>
        </is>
      </c>
      <c r="F66" s="25" t="inlineStr">
        <is>
          <t>Recorder · phone · browser</t>
        </is>
      </c>
      <c r="G66" s="24" t="inlineStr">
        <is>
          <t>Web Transcript Review</t>
        </is>
      </c>
      <c r="H66" s="25" t="inlineStr">
        <is>
          <t>Display of Processing, Retryable Failure, and Final Failure states</t>
        </is>
      </c>
      <c r="I66" s="24" t="inlineStr">
        <is>
          <t>P0</t>
        </is>
      </c>
      <c r="J66" s="24" t="inlineStr">
        <is>
          <t>State Handling / Usability</t>
        </is>
      </c>
      <c r="K66" s="25" t="inlineStr">
        <is>
          <t>RQ-01, RQ-13, RQ-14</t>
        </is>
      </c>
      <c r="L66" s="9" t="n">
        <v>3</v>
      </c>
      <c r="M66" s="25" t="inlineStr">
        <is>
          <t>RQ-13</t>
        </is>
      </c>
      <c r="N66" s="25" t="inlineStr">
        <is>
          <t>SATE Web App; Supabase</t>
        </is>
      </c>
      <c r="O66" s="25" t="inlineStr">
        <is>
          <t>Verify clear non-completed session states.</t>
        </is>
      </c>
      <c r="P66" s="25" t="inlineStr">
        <is>
          <t>Create sessions in Processing, Retryable Failure, and Final Failure.</t>
        </is>
      </c>
      <c r="Q66" s="25" t="inlineStr">
        <is>
          <t>Three controlled sessions.</t>
        </is>
      </c>
      <c r="R66" s="25" t="inlineStr">
        <is>
          <t>1. Open each session.
2. Observe messages and available actions.
3. Refresh after status changes.</t>
        </is>
      </c>
      <c r="S66" s="25" t="inlineStr">
        <is>
          <t>Each state has a distinct explanation and only appropriate actions. No page appears empty or permanently loading without context.</t>
        </is>
      </c>
      <c r="T66" s="25" t="inlineStr">
        <is>
          <t>Displayed state matches canonical backend state and updates without creating new records.</t>
        </is>
      </c>
      <c r="U66" s="25" t="inlineStr">
        <is>
          <t>UI must distinguish processing, retryable error (attempts &lt; 3), and settled error. The status column to read is sate_device_sessions.status plus attempts — the UI shows real progress from these rather than inferring from processed (device-api ≥v14).</t>
        </is>
      </c>
      <c r="V66" s="25" t="inlineStr">
        <is>
          <t>Compare UI status to DB status, attempt count, and available retry permissions.</t>
        </is>
      </c>
      <c r="W66" s="25" t="inlineStr">
        <is>
          <t>Users can distinguish processing from failure and know whether to wait or retry.</t>
        </is>
      </c>
      <c r="X66" s="24" t="inlineStr">
        <is>
          <t>Not Run</t>
        </is>
      </c>
      <c r="Y66" s="24" t="inlineStr"/>
      <c r="Z66" s="9">
        <f>COUNTIF('Defect Log'!$C$2:$C$500,$A66)</f>
        <v/>
      </c>
      <c r="AA66" s="24" t="inlineStr"/>
      <c r="AB66" s="24" t="inlineStr"/>
      <c r="AC66" s="24" t="inlineStr"/>
      <c r="AD66" s="24" t="inlineStr"/>
    </row>
    <row r="67" ht="58" customHeight="1">
      <c r="A67" s="23" t="inlineStr">
        <is>
          <t>SATE-WEB-003</t>
        </is>
      </c>
      <c r="B67" s="24" t="inlineStr">
        <is>
          <t>In scope</t>
        </is>
      </c>
      <c r="C67" s="25" t="inlineStr"/>
      <c r="D67" s="9" t="inlineStr">
        <is>
          <t>End User</t>
        </is>
      </c>
      <c r="E67" s="24" t="inlineStr">
        <is>
          <t>Tester</t>
        </is>
      </c>
      <c r="F67" s="25" t="inlineStr">
        <is>
          <t>Recorder · phone · browser</t>
        </is>
      </c>
      <c r="G67" s="24" t="inlineStr">
        <is>
          <t>Web Transcript Review</t>
        </is>
      </c>
      <c r="H67" s="25" t="inlineStr">
        <is>
          <t>Refresh, browser Back/Forward, and multiple tabs</t>
        </is>
      </c>
      <c r="I67" s="24" t="inlineStr">
        <is>
          <t>P1</t>
        </is>
      </c>
      <c r="J67" s="24" t="inlineStr">
        <is>
          <t>Reliability / Navigation</t>
        </is>
      </c>
      <c r="K67" s="25" t="inlineStr">
        <is>
          <t>RQ-15</t>
        </is>
      </c>
      <c r="L67" s="9" t="n">
        <v>1</v>
      </c>
      <c r="M67" s="25" t="inlineStr">
        <is>
          <t>RQ-15</t>
        </is>
      </c>
      <c r="N67" s="25" t="inlineStr">
        <is>
          <t>SATE Web App; Browser</t>
        </is>
      </c>
      <c r="O67" s="25" t="inlineStr">
        <is>
          <t>Verify session context is not mixed across navigation actions.</t>
        </is>
      </c>
      <c r="P67" s="25" t="inlineStr">
        <is>
          <t>Two completed sessions A and B exist.</t>
        </is>
      </c>
      <c r="Q67" s="25" t="inlineStr">
        <is>
          <t>Open A and B in separate tabs.</t>
        </is>
      </c>
      <c r="R67" s="25" t="inlineStr">
        <is>
          <t>1. Open Session A.
2. Open Session B in another tab.
3. Refresh both.
4. Use Back and Forward.
5. Compare displayed content.</t>
        </is>
      </c>
      <c r="S67" s="25" t="inlineStr">
        <is>
          <t>Each tab retains its own session. Navigation never shows Session A metadata with Session B transcript/audio.</t>
        </is>
      </c>
      <c r="T67" s="25" t="inlineStr">
        <is>
          <t>Requests use the correct session ID and return the correct result version.</t>
        </is>
      </c>
      <c r="U67" s="25" t="inlineStr">
        <is>
          <t>No server involvement. Client-state only.</t>
        </is>
      </c>
      <c r="V67" s="25" t="inlineStr">
        <is>
          <t>Compare URL/session ID, metadata, transcript marker, audio marker, and report link in each tab.</t>
        </is>
      </c>
      <c r="W67" s="25" t="inlineStr">
        <is>
          <t>No cross-session content mixing or stale-cache substitution occurs.</t>
        </is>
      </c>
      <c r="X67" s="24" t="inlineStr">
        <is>
          <t>Not Run</t>
        </is>
      </c>
      <c r="Y67" s="24" t="inlineStr"/>
      <c r="Z67" s="9">
        <f>COUNTIF('Defect Log'!$C$2:$C$500,$A67)</f>
        <v/>
      </c>
      <c r="AA67" s="24" t="inlineStr"/>
      <c r="AB67" s="24" t="inlineStr"/>
      <c r="AC67" s="24" t="inlineStr"/>
      <c r="AD67" s="24" t="inlineStr"/>
    </row>
    <row r="68" ht="58" customHeight="1">
      <c r="A68" s="23" t="inlineStr">
        <is>
          <t>SATE-WEB-004</t>
        </is>
      </c>
      <c r="B68" s="24" t="inlineStr">
        <is>
          <t>In scope</t>
        </is>
      </c>
      <c r="C68" s="25" t="inlineStr"/>
      <c r="D68" s="9" t="inlineStr">
        <is>
          <t>End User</t>
        </is>
      </c>
      <c r="E68" s="24" t="inlineStr">
        <is>
          <t>Tester</t>
        </is>
      </c>
      <c r="F68" s="25" t="inlineStr">
        <is>
          <t>Recorder · phone · browser</t>
        </is>
      </c>
      <c r="G68" s="24" t="inlineStr">
        <is>
          <t>Web Transcript Review</t>
        </is>
      </c>
      <c r="H68" s="25" t="inlineStr">
        <is>
          <t>Audio playback and transcript association</t>
        </is>
      </c>
      <c r="I68" s="24" t="inlineStr">
        <is>
          <t>P0</t>
        </is>
      </c>
      <c r="J68" s="24" t="inlineStr">
        <is>
          <t>Data Integrity / Functional</t>
        </is>
      </c>
      <c r="K68" s="25" t="inlineStr">
        <is>
          <t>RQ-04, RQ-15</t>
        </is>
      </c>
      <c r="L68" s="9" t="n">
        <v>2</v>
      </c>
      <c r="M68" s="25" t="inlineStr">
        <is>
          <t>RQ-15</t>
        </is>
      </c>
      <c r="N68" s="25" t="inlineStr">
        <is>
          <t>SATE Web App; Audio Storage; Transcript View</t>
        </is>
      </c>
      <c r="O68" s="25" t="inlineStr">
        <is>
          <t>Verify that the audio player is linked to the correct session and remains usable.</t>
        </is>
      </c>
      <c r="P68" s="25" t="inlineStr">
        <is>
          <t>Completed sessions A and B contain distinct spoken labels.</t>
        </is>
      </c>
      <c r="Q68" s="25" t="inlineStr">
        <is>
          <t>Two completed sessions.</t>
        </is>
      </c>
      <c r="R68" s="25" t="inlineStr">
        <is>
          <t>1. Open Session A and play beginning/end.
2. Open Session B and play beginning/end.
3. Seek, pause, resume, and reload.
4. Compare to transcripts.</t>
        </is>
      </c>
      <c r="S68" s="25" t="inlineStr">
        <is>
          <t>Audio controls work and each session plays its own audio. Errors are explained.</t>
        </is>
      </c>
      <c r="T68" s="25" t="inlineStr">
        <is>
          <t>Authorized audio URL points to the correct object and does not change across sessions.</t>
        </is>
      </c>
      <c r="U68" s="25" t="inlineStr">
        <is>
          <t>Audio is served from the recordings bucket via GET /sessions/:id/audio. Confirm the clip matches the transcript — cross-session contamination is a release blocker.</t>
        </is>
      </c>
      <c r="V68" s="25" t="inlineStr">
        <is>
          <t>Match spoken label to transcript/session; verify duration and access controls.</t>
        </is>
      </c>
      <c r="W68" s="25" t="inlineStr">
        <is>
          <t>No wrong-audio association, broken seeking, or unauthorized cross-session playback occurs.</t>
        </is>
      </c>
      <c r="X68" s="24" t="inlineStr">
        <is>
          <t>Not Run</t>
        </is>
      </c>
      <c r="Y68" s="24" t="inlineStr"/>
      <c r="Z68" s="9">
        <f>COUNTIF('Defect Log'!$C$2:$C$500,$A68)</f>
        <v/>
      </c>
      <c r="AA68" s="24" t="inlineStr"/>
      <c r="AB68" s="24" t="inlineStr"/>
      <c r="AC68" s="24" t="inlineStr"/>
      <c r="AD68" s="24" t="inlineStr"/>
    </row>
    <row r="69" ht="58" customHeight="1">
      <c r="A69" s="23" t="inlineStr">
        <is>
          <t>SATE-WEB-005</t>
        </is>
      </c>
      <c r="B69" s="24" t="inlineStr">
        <is>
          <t>In scope</t>
        </is>
      </c>
      <c r="C69" s="25" t="inlineStr"/>
      <c r="D69" s="9" t="inlineStr">
        <is>
          <t>Both</t>
        </is>
      </c>
      <c r="E69" s="24" t="inlineStr">
        <is>
          <t>Tester + Engineer</t>
        </is>
      </c>
      <c r="F69" s="25" t="inlineStr">
        <is>
          <t>Recorder · phone · browser + Supabase read access</t>
        </is>
      </c>
      <c r="G69" s="24" t="inlineStr">
        <is>
          <t>Web Transcript Review</t>
        </is>
      </c>
      <c r="H69" s="25" t="inlineStr">
        <is>
          <t>Edit and save transcript with versioning</t>
        </is>
      </c>
      <c r="I69" s="24" t="inlineStr">
        <is>
          <t>P0</t>
        </is>
      </c>
      <c r="J69" s="24" t="inlineStr">
        <is>
          <t>Functional / Data Integrity</t>
        </is>
      </c>
      <c r="K69" s="25" t="inlineStr">
        <is>
          <t>RQ-15, RQ-16</t>
        </is>
      </c>
      <c r="L69" s="9" t="n">
        <v>2</v>
      </c>
      <c r="M69" s="25" t="inlineStr">
        <is>
          <t>RQ-15</t>
        </is>
      </c>
      <c r="N69" s="25" t="inlineStr">
        <is>
          <t>SATE Web App; Supabase; Audit/Version Store</t>
        </is>
      </c>
      <c r="O69" s="25" t="inlineStr">
        <is>
          <t>Verify transcript correction, persistence, and report source.</t>
        </is>
      </c>
      <c r="P69" s="25" t="inlineStr">
        <is>
          <t>Transcript editing is enabled and user has edit permission.</t>
        </is>
      </c>
      <c r="Q69" s="25" t="inlineStr">
        <is>
          <t>Completed session with known correction points.</t>
        </is>
      </c>
      <c r="R69" s="25" t="inlineStr">
        <is>
          <t>1. Edit several transcript segments.
2. Save.
3. Refresh and reopen.
4. Export PDF.
5. Review audit/version information.</t>
        </is>
      </c>
      <c r="S69" s="25" t="inlineStr">
        <is>
          <t>Edits persist and are visually distinguishable from unsaved changes. PDF uses the approved latest version.</t>
        </is>
      </c>
      <c r="T69" s="25" t="inlineStr">
        <is>
          <t>Original AI result is retained or versioned according to policy; edited version is saved atomically with user/time audit.</t>
        </is>
      </c>
      <c r="U69" s="25" t="inlineStr">
        <is>
          <t>Editing writes back to recordings.transcript and sets segments_edited. Versioning policy is RQ-15 and unsettled — record current behaviour.</t>
        </is>
      </c>
      <c r="V69" s="25" t="inlineStr">
        <is>
          <t>Compare original and edited versions, last-saved timestamp, editor identity, and PDF content.</t>
        </is>
      </c>
      <c r="W69" s="25" t="inlineStr">
        <is>
          <t>Edits are durable, auditable, and cannot accidentally overwrite the wrong session.</t>
        </is>
      </c>
      <c r="X69" s="24" t="inlineStr">
        <is>
          <t>Not Run</t>
        </is>
      </c>
      <c r="Y69" s="24" t="inlineStr"/>
      <c r="Z69" s="9">
        <f>COUNTIF('Defect Log'!$C$2:$C$500,$A69)</f>
        <v/>
      </c>
      <c r="AA69" s="24" t="inlineStr"/>
      <c r="AB69" s="24" t="inlineStr"/>
      <c r="AC69" s="24" t="inlineStr"/>
      <c r="AD69" s="24" t="inlineStr"/>
    </row>
    <row r="70" ht="58" customHeight="1">
      <c r="A70" s="23" t="inlineStr">
        <is>
          <t>SATE-WEB-006</t>
        </is>
      </c>
      <c r="B70" s="24" t="inlineStr">
        <is>
          <t>In scope</t>
        </is>
      </c>
      <c r="C70" s="25" t="inlineStr"/>
      <c r="D70" s="9" t="inlineStr">
        <is>
          <t>Both</t>
        </is>
      </c>
      <c r="E70" s="24" t="inlineStr">
        <is>
          <t>Tester + Engineer</t>
        </is>
      </c>
      <c r="F70" s="25" t="inlineStr">
        <is>
          <t>Recorder · phone · browser + Supabase read access</t>
        </is>
      </c>
      <c r="G70" s="24" t="inlineStr">
        <is>
          <t>Web Transcript Review</t>
        </is>
      </c>
      <c r="H70" s="25" t="inlineStr">
        <is>
          <t>Save failure and concurrent transcript editing</t>
        </is>
      </c>
      <c r="I70" s="24" t="inlineStr">
        <is>
          <t>P0</t>
        </is>
      </c>
      <c r="J70" s="24" t="inlineStr">
        <is>
          <t>Concurrency / Recovery</t>
        </is>
      </c>
      <c r="K70" s="25" t="inlineStr">
        <is>
          <t>RQ-15</t>
        </is>
      </c>
      <c r="L70" s="9" t="n">
        <v>1</v>
      </c>
      <c r="M70" s="25" t="inlineStr">
        <is>
          <t>RQ-15</t>
        </is>
      </c>
      <c r="N70" s="25" t="inlineStr">
        <is>
          <t>SATE Web App; Supabase; Audit/Version Store</t>
        </is>
      </c>
      <c r="O70" s="25" t="inlineStr">
        <is>
          <t>Verify no silent data loss during failed or conflicting edits.</t>
        </is>
      </c>
      <c r="P70" s="25" t="inlineStr">
        <is>
          <t>Two authorized browser sessions can open the same transcript; DB failure can be simulated.</t>
        </is>
      </c>
      <c r="Q70" s="25" t="inlineStr">
        <is>
          <t>Session with editable transcript.</t>
        </is>
      </c>
      <c r="R70" s="25" t="inlineStr">
        <is>
          <t>1. Open the transcript in two browsers.
2. Make different edits.
3. Save Browser A.
4. Save Browser B or inject save failure.
5. Refresh both.</t>
        </is>
      </c>
      <c r="S70" s="25" t="inlineStr">
        <is>
          <t>Save failure is explicit and unsaved text is not falsely shown as saved. Concurrent conflict follows the documented policy.</t>
        </is>
      </c>
      <c r="T70" s="25" t="inlineStr">
        <is>
          <t>Version/optimistic-lock rules prevent silent last-writer data loss or create a traceable new version.</t>
        </is>
      </c>
      <c r="U70" s="25" t="inlineStr">
        <is>
          <t>Concurrent edit handling is undefined (RQ-15). Expect last-write-wins unless told otherwise; document what you observe.</t>
        </is>
      </c>
      <c r="V70" s="25" t="inlineStr">
        <is>
          <t>Inspect versions, timestamps, editor IDs, final text, and error logs.</t>
        </is>
      </c>
      <c r="W70" s="25" t="inlineStr">
        <is>
          <t>No silent overwrite, wrong-session save, or false success occurs.</t>
        </is>
      </c>
      <c r="X70" s="24" t="inlineStr">
        <is>
          <t>Not Run</t>
        </is>
      </c>
      <c r="Y70" s="24" t="inlineStr"/>
      <c r="Z70" s="9">
        <f>COUNTIF('Defect Log'!$C$2:$C$500,$A70)</f>
        <v/>
      </c>
      <c r="AA70" s="24" t="inlineStr"/>
      <c r="AB70" s="24" t="inlineStr"/>
      <c r="AC70" s="24" t="inlineStr"/>
      <c r="AD70" s="24" t="inlineStr"/>
    </row>
    <row r="71" ht="58" customHeight="1">
      <c r="A71" s="23" t="inlineStr">
        <is>
          <t>SATE-WEB-007</t>
        </is>
      </c>
      <c r="B71" s="24" t="inlineStr">
        <is>
          <t>In scope</t>
        </is>
      </c>
      <c r="C71" s="25" t="inlineStr"/>
      <c r="D71" s="9" t="inlineStr">
        <is>
          <t>End User</t>
        </is>
      </c>
      <c r="E71" s="24" t="inlineStr">
        <is>
          <t>Tester</t>
        </is>
      </c>
      <c r="F71" s="25" t="inlineStr">
        <is>
          <t>Recorder · phone · browser</t>
        </is>
      </c>
      <c r="G71" s="24" t="inlineStr">
        <is>
          <t>Web Transcript Review</t>
        </is>
      </c>
      <c r="H71" s="25" t="inlineStr">
        <is>
          <t>Long transcript and special characters</t>
        </is>
      </c>
      <c r="I71" s="24" t="inlineStr">
        <is>
          <t>P1</t>
        </is>
      </c>
      <c r="J71" s="24" t="inlineStr">
        <is>
          <t>Compatibility / Performance</t>
        </is>
      </c>
      <c r="K71" s="25" t="inlineStr">
        <is>
          <t>RQ-15, RQ-19, RQ-20</t>
        </is>
      </c>
      <c r="L71" s="9" t="n">
        <v>3</v>
      </c>
      <c r="M71" s="25" t="inlineStr">
        <is>
          <t>RQ-15, RQ-20</t>
        </is>
      </c>
      <c r="N71" s="25" t="inlineStr">
        <is>
          <t>SATE Web App; Browser; Supabase</t>
        </is>
      </c>
      <c r="O71" s="25" t="inlineStr">
        <is>
          <t>Verify rendering of long content, IPA, Unicode, punctuation, and long tokens.</t>
        </is>
      </c>
      <c r="P71" s="25" t="inlineStr">
        <is>
          <t>A long completed/edited transcript containing special characters exists.</t>
        </is>
      </c>
      <c r="Q71" s="25" t="inlineStr">
        <is>
          <t>45-minute transcript; apostrophes, hyphens, IPA symbols, accented characters, non-Latin Unicode, and long strings.</t>
        </is>
      </c>
      <c r="R71" s="25" t="inlineStr">
        <is>
          <t>1. Open the transcript.
2. Search/scroll through the page.
3. Edit and save selected special characters if supported.
4. Refresh.
5. Export PDF.</t>
        </is>
      </c>
      <c r="S71" s="25" t="inlineStr">
        <is>
          <t>Page remains responsive; characters render without replacement boxes or corruption; layout does not overlap.</t>
        </is>
      </c>
      <c r="T71" s="25" t="inlineStr">
        <is>
          <t>Stored text remains unchanged under round-trip read/write.</t>
        </is>
      </c>
      <c r="U71" s="25" t="inlineStr">
        <is>
          <t>Special characters travel as JSON in recordings.transcript. Check for mojibake at the storage boundary, not just on screen.</t>
        </is>
      </c>
      <c r="V71" s="25" t="inlineStr">
        <is>
          <t>Compare source text, displayed text, saved text, and PDF text for encoding changes.</t>
        </is>
      </c>
      <c r="W71" s="25" t="inlineStr">
        <is>
          <t>Long and multilingual/special-character content remains accurate and usable.</t>
        </is>
      </c>
      <c r="X71" s="24" t="inlineStr">
        <is>
          <t>Not Run</t>
        </is>
      </c>
      <c r="Y71" s="24" t="inlineStr"/>
      <c r="Z71" s="9">
        <f>COUNTIF('Defect Log'!$C$2:$C$500,$A71)</f>
        <v/>
      </c>
      <c r="AA71" s="24" t="inlineStr"/>
      <c r="AB71" s="24" t="inlineStr"/>
      <c r="AC71" s="24" t="inlineStr"/>
      <c r="AD71" s="24" t="inlineStr"/>
    </row>
    <row r="72" ht="58" customHeight="1">
      <c r="A72" s="23" t="inlineStr">
        <is>
          <t>SATE-PDF-001</t>
        </is>
      </c>
      <c r="B72" s="24" t="inlineStr">
        <is>
          <t>In scope</t>
        </is>
      </c>
      <c r="C72" s="25" t="inlineStr"/>
      <c r="D72" s="9" t="inlineStr">
        <is>
          <t>End User</t>
        </is>
      </c>
      <c r="E72" s="24" t="inlineStr">
        <is>
          <t>Tester</t>
        </is>
      </c>
      <c r="F72" s="25" t="inlineStr">
        <is>
          <t>Recorder · phone · browser</t>
        </is>
      </c>
      <c r="G72" s="24" t="inlineStr">
        <is>
          <t>PDF Export</t>
        </is>
      </c>
      <c r="H72" s="25" t="inlineStr">
        <is>
          <t>Standard SATE report export</t>
        </is>
      </c>
      <c r="I72" s="24" t="inlineStr">
        <is>
          <t>P0</t>
        </is>
      </c>
      <c r="J72" s="24" t="inlineStr">
        <is>
          <t>Functional</t>
        </is>
      </c>
      <c r="K72" s="25" t="inlineStr">
        <is>
          <t>RQ-16, RQ-17</t>
        </is>
      </c>
      <c r="L72" s="9" t="n">
        <v>2</v>
      </c>
      <c r="M72" s="25" t="inlineStr"/>
      <c r="N72" s="25" t="inlineStr">
        <is>
          <t>SATE Web App; PDF Service; Supabase</t>
        </is>
      </c>
      <c r="O72" s="25" t="inlineStr">
        <is>
          <t>Verify a complete report can be generated from a completed session.</t>
        </is>
      </c>
      <c r="P72" s="25" t="inlineStr">
        <is>
          <t>Completed session exists and user has export permission.</t>
        </is>
      </c>
      <c r="Q72" s="25" t="inlineStr">
        <is>
          <t>Standard 5-minute session.</t>
        </is>
      </c>
      <c r="R72" s="25" t="inlineStr">
        <is>
          <t>1. Open the session.
2. Select Export PDF.
3. Open the file.
4. Compare report fields to the Web App.</t>
        </is>
      </c>
      <c r="S72" s="25" t="inlineStr">
        <is>
          <t>Export succeeds once; file opens without warning; layout is readable.</t>
        </is>
      </c>
      <c r="T72" s="25" t="inlineStr">
        <is>
          <t>Report is generated from the correct authorized session and current approved transcript/result version.</t>
        </is>
      </c>
      <c r="U72" s="25" t="inlineStr">
        <is>
          <t>Export reads the same recordings row. Confirm the PDF's session matches the row's id.</t>
        </is>
      </c>
      <c r="V72" s="25" t="inlineStr">
        <is>
          <t>Compare user/session metadata, date, duration, transcript, annotations, page count, and file name.</t>
        </is>
      </c>
      <c r="W72" s="25" t="inlineStr">
        <is>
          <t>PDF is complete, readable, correctly associated, and free of missing or stale content.</t>
        </is>
      </c>
      <c r="X72" s="24" t="inlineStr">
        <is>
          <t>Not Run</t>
        </is>
      </c>
      <c r="Y72" s="24" t="inlineStr"/>
      <c r="Z72" s="9">
        <f>COUNTIF('Defect Log'!$C$2:$C$500,$A72)</f>
        <v/>
      </c>
      <c r="AA72" s="24" t="inlineStr"/>
      <c r="AB72" s="24" t="inlineStr"/>
      <c r="AC72" s="24" t="inlineStr"/>
      <c r="AD72" s="24" t="inlineStr"/>
    </row>
    <row r="73" ht="58" customHeight="1">
      <c r="A73" s="23" t="inlineStr">
        <is>
          <t>SATE-PDF-002</t>
        </is>
      </c>
      <c r="B73" s="24" t="inlineStr">
        <is>
          <t>In scope</t>
        </is>
      </c>
      <c r="C73" s="25" t="inlineStr"/>
      <c r="D73" s="9" t="inlineStr">
        <is>
          <t>End User</t>
        </is>
      </c>
      <c r="E73" s="24" t="inlineStr">
        <is>
          <t>Tester</t>
        </is>
      </c>
      <c r="F73" s="25" t="inlineStr">
        <is>
          <t>Recorder · phone · browser</t>
        </is>
      </c>
      <c r="G73" s="24" t="inlineStr">
        <is>
          <t>PDF Export</t>
        </is>
      </c>
      <c r="H73" s="25" t="inlineStr">
        <is>
          <t>Long-session report pagination</t>
        </is>
      </c>
      <c r="I73" s="24" t="inlineStr">
        <is>
          <t>P0</t>
        </is>
      </c>
      <c r="J73" s="24" t="inlineStr">
        <is>
          <t>Performance / Layout</t>
        </is>
      </c>
      <c r="K73" s="25" t="inlineStr">
        <is>
          <t>RQ-16, RQ-20</t>
        </is>
      </c>
      <c r="L73" s="9" t="n">
        <v>2</v>
      </c>
      <c r="M73" s="25" t="inlineStr">
        <is>
          <t>RQ-20</t>
        </is>
      </c>
      <c r="N73" s="25" t="inlineStr">
        <is>
          <t>SATE Web App; PDF Service</t>
        </is>
      </c>
      <c r="O73" s="25" t="inlineStr">
        <is>
          <t>Verify multi-page report formatting for long transcripts and annotation tables.</t>
        </is>
      </c>
      <c r="P73" s="25" t="inlineStr">
        <is>
          <t>A completed 45-60 minute session exists.</t>
        </is>
      </c>
      <c r="Q73" s="25" t="inlineStr">
        <is>
          <t>Long transcript and large annotation set.</t>
        </is>
      </c>
      <c r="R73" s="25" t="inlineStr">
        <is>
          <t>1. Export PDF.
2. Review every page.
3. Check page breaks, headers, footers, tables, and final page.
4. Search for known beginning/end markers.</t>
        </is>
      </c>
      <c r="S73" s="25" t="inlineStr">
        <is>
          <t>No clipped text, overlapping elements, blank unintended pages, or missing final content appears.</t>
        </is>
      </c>
      <c r="T73" s="25" t="inlineStr">
        <is>
          <t>Generation completes within the documented SLA and uses the complete result set.</t>
        </is>
      </c>
      <c r="U73" s="25" t="inlineStr">
        <is>
          <t>Pagination is client-side; no server check beyond the source row.</t>
        </is>
      </c>
      <c r="V73" s="25" t="inlineStr">
        <is>
          <t>Confirm all transcript markers, annotation rows, page numbering, metadata, and file size.</t>
        </is>
      </c>
      <c r="W73" s="25" t="inlineStr">
        <is>
          <t>Long report is complete and professionally paginated.</t>
        </is>
      </c>
      <c r="X73" s="24" t="inlineStr">
        <is>
          <t>Not Run</t>
        </is>
      </c>
      <c r="Y73" s="24" t="inlineStr"/>
      <c r="Z73" s="9">
        <f>COUNTIF('Defect Log'!$C$2:$C$500,$A73)</f>
        <v/>
      </c>
      <c r="AA73" s="24" t="inlineStr"/>
      <c r="AB73" s="24" t="inlineStr"/>
      <c r="AC73" s="24" t="inlineStr"/>
      <c r="AD73" s="24" t="inlineStr"/>
    </row>
    <row r="74" ht="58" customHeight="1">
      <c r="A74" s="23" t="inlineStr">
        <is>
          <t>SATE-PDF-003</t>
        </is>
      </c>
      <c r="B74" s="24" t="inlineStr">
        <is>
          <t>In scope</t>
        </is>
      </c>
      <c r="C74" s="25" t="inlineStr"/>
      <c r="D74" s="9" t="inlineStr">
        <is>
          <t>End User</t>
        </is>
      </c>
      <c r="E74" s="24" t="inlineStr">
        <is>
          <t>Tester</t>
        </is>
      </c>
      <c r="F74" s="25" t="inlineStr">
        <is>
          <t>Recorder · phone · browser</t>
        </is>
      </c>
      <c r="G74" s="24" t="inlineStr">
        <is>
          <t>PDF Export</t>
        </is>
      </c>
      <c r="H74" s="25" t="inlineStr">
        <is>
          <t>Special characters and Unicode in PDF</t>
        </is>
      </c>
      <c r="I74" s="24" t="inlineStr">
        <is>
          <t>P1</t>
        </is>
      </c>
      <c r="J74" s="24" t="inlineStr">
        <is>
          <t>Compatibility / Layout</t>
        </is>
      </c>
      <c r="K74" s="25" t="inlineStr">
        <is>
          <t>RQ-16, RQ-19</t>
        </is>
      </c>
      <c r="L74" s="9" t="n">
        <v>2</v>
      </c>
      <c r="M74" s="25" t="inlineStr"/>
      <c r="N74" s="25" t="inlineStr">
        <is>
          <t>SATE Web App; PDF Service; Fonts</t>
        </is>
      </c>
      <c r="O74" s="25" t="inlineStr">
        <is>
          <t>Verify correct PDF rendering for supported characters.</t>
        </is>
      </c>
      <c r="P74" s="25" t="inlineStr">
        <is>
          <t>Transcript contains the supported special-character test set.</t>
        </is>
      </c>
      <c r="Q74" s="25" t="inlineStr">
        <is>
          <t>IPA, accented Latin, punctuation, speaker labels, symbols, and selected non-Latin text.</t>
        </is>
      </c>
      <c r="R74" s="25" t="inlineStr">
        <is>
          <t>1. Export the report.
2. Compare each special-character sample with the Web App/source.
3. Copy text from PDF where applicable.</t>
        </is>
      </c>
      <c r="S74" s="25" t="inlineStr">
        <is>
          <t>Characters render correctly without boxes, substitutions, or layout corruption.</t>
        </is>
      </c>
      <c r="T74" s="25" t="inlineStr">
        <is>
          <t>PDF generator receives and encodes the correct current text.</t>
        </is>
      </c>
      <c r="U74" s="25" t="inlineStr">
        <is>
          <t>Font coverage is a rendering concern — confirm the stored JSON is correct first, so a glyph problem is not mistaken for data loss.</t>
        </is>
      </c>
      <c r="V74" s="25" t="inlineStr">
        <is>
          <t>Compare source/display/PDF characters and text extraction where relevant.</t>
        </is>
      </c>
      <c r="W74" s="25" t="inlineStr">
        <is>
          <t>All supported characters remain legible and accurate.</t>
        </is>
      </c>
      <c r="X74" s="24" t="inlineStr">
        <is>
          <t>Not Run</t>
        </is>
      </c>
      <c r="Y74" s="24" t="inlineStr"/>
      <c r="Z74" s="9">
        <f>COUNTIF('Defect Log'!$C$2:$C$500,$A74)</f>
        <v/>
      </c>
      <c r="AA74" s="24" t="inlineStr"/>
      <c r="AB74" s="24" t="inlineStr"/>
      <c r="AC74" s="24" t="inlineStr"/>
      <c r="AD74" s="24" t="inlineStr"/>
    </row>
    <row r="75" ht="58" customHeight="1">
      <c r="A75" s="23" t="inlineStr">
        <is>
          <t>SATE-PDF-004</t>
        </is>
      </c>
      <c r="B75" s="24" t="inlineStr">
        <is>
          <t>In scope</t>
        </is>
      </c>
      <c r="C75" s="25" t="inlineStr"/>
      <c r="D75" s="9" t="inlineStr">
        <is>
          <t>End User</t>
        </is>
      </c>
      <c r="E75" s="24" t="inlineStr">
        <is>
          <t>Tester</t>
        </is>
      </c>
      <c r="F75" s="25" t="inlineStr">
        <is>
          <t>Recorder · phone · browser</t>
        </is>
      </c>
      <c r="G75" s="24" t="inlineStr">
        <is>
          <t>PDF Export</t>
        </is>
      </c>
      <c r="H75" s="25" t="inlineStr">
        <is>
          <t>Re-export after transcript edits</t>
        </is>
      </c>
      <c r="I75" s="24" t="inlineStr">
        <is>
          <t>P0</t>
        </is>
      </c>
      <c r="J75" s="24" t="inlineStr">
        <is>
          <t>Data Integrity / Cache</t>
        </is>
      </c>
      <c r="K75" s="25" t="inlineStr">
        <is>
          <t>RQ-15, RQ-16</t>
        </is>
      </c>
      <c r="L75" s="9" t="n">
        <v>2</v>
      </c>
      <c r="M75" s="25" t="inlineStr">
        <is>
          <t>RQ-15</t>
        </is>
      </c>
      <c r="N75" s="25" t="inlineStr">
        <is>
          <t>SATE Web App; Supabase; PDF Service; Cache</t>
        </is>
      </c>
      <c r="O75" s="25" t="inlineStr">
        <is>
          <t>Verify that a new report uses the latest saved transcript rather than stale cached content.</t>
        </is>
      </c>
      <c r="P75" s="25" t="inlineStr">
        <is>
          <t>Transcript editing is enabled; a prior PDF has already been generated.</t>
        </is>
      </c>
      <c r="Q75" s="25" t="inlineStr">
        <is>
          <t>One completed session with a known text correction.</t>
        </is>
      </c>
      <c r="R75" s="25" t="inlineStr">
        <is>
          <t>1. Export the original PDF.
2. Edit and save transcript.
3. Export again.
4. Compare both files.</t>
        </is>
      </c>
      <c r="S75" s="25" t="inlineStr">
        <is>
          <t>Second export contains the saved correction and is clearly the current report.</t>
        </is>
      </c>
      <c r="T75" s="25" t="inlineStr">
        <is>
          <t>Cache/version key changes or regeneration uses the latest approved result version.</t>
        </is>
      </c>
      <c r="U75" s="25" t="inlineStr">
        <is>
          <t>Re-export must pick up edited text (segments_edited = true). Cache invalidation is RQ-16.</t>
        </is>
      </c>
      <c r="V75" s="25" t="inlineStr">
        <is>
          <t>Compare transcript version ID, report generation timestamp, file contents, and file name/version.</t>
        </is>
      </c>
      <c r="W75" s="25" t="inlineStr">
        <is>
          <t>Re-export never returns a stale report after a successful saved edit.</t>
        </is>
      </c>
      <c r="X75" s="24" t="inlineStr">
        <is>
          <t>Not Run</t>
        </is>
      </c>
      <c r="Y75" s="24" t="inlineStr"/>
      <c r="Z75" s="9">
        <f>COUNTIF('Defect Log'!$C$2:$C$500,$A75)</f>
        <v/>
      </c>
      <c r="AA75" s="24" t="inlineStr"/>
      <c r="AB75" s="24" t="inlineStr"/>
      <c r="AC75" s="24" t="inlineStr"/>
      <c r="AD75" s="24" t="inlineStr"/>
    </row>
    <row r="76" ht="58" customHeight="1">
      <c r="A76" s="23" t="inlineStr">
        <is>
          <t>SATE-PDF-005</t>
        </is>
      </c>
      <c r="B76" s="24" t="inlineStr">
        <is>
          <t>In scope</t>
        </is>
      </c>
      <c r="C76" s="25" t="inlineStr"/>
      <c r="D76" s="9" t="inlineStr">
        <is>
          <t>End User</t>
        </is>
      </c>
      <c r="E76" s="24" t="inlineStr">
        <is>
          <t>Tester</t>
        </is>
      </c>
      <c r="F76" s="25" t="inlineStr">
        <is>
          <t>Recorder · phone · browser</t>
        </is>
      </c>
      <c r="G76" s="24" t="inlineStr">
        <is>
          <t>PDF Export</t>
        </is>
      </c>
      <c r="H76" s="25" t="inlineStr">
        <is>
          <t>Export request for Processing, Partial, or Failed session</t>
        </is>
      </c>
      <c r="I76" s="24" t="inlineStr">
        <is>
          <t>P1</t>
        </is>
      </c>
      <c r="J76" s="24" t="inlineStr">
        <is>
          <t>Negative / State Handling</t>
        </is>
      </c>
      <c r="K76" s="25" t="inlineStr">
        <is>
          <t>RQ-13, RQ-14, RQ-16</t>
        </is>
      </c>
      <c r="L76" s="9" t="n">
        <v>3</v>
      </c>
      <c r="M76" s="25" t="inlineStr">
        <is>
          <t>RQ-13</t>
        </is>
      </c>
      <c r="N76" s="25" t="inlineStr">
        <is>
          <t>SATE Web App; PDF Service</t>
        </is>
      </c>
      <c r="O76" s="25" t="inlineStr">
        <is>
          <t>Verify controlled behavior when a complete report is not available.</t>
        </is>
      </c>
      <c r="P76" s="25" t="inlineStr">
        <is>
          <t>Sessions exist in Processing, Partial, and Failed states.</t>
        </is>
      </c>
      <c r="Q76" s="25" t="inlineStr">
        <is>
          <t>Three controlled sessions.</t>
        </is>
      </c>
      <c r="R76" s="25" t="inlineStr">
        <is>
          <t>1. Open each session.
2. Attempt export.
3. Observe message and any permitted partial-report option.</t>
        </is>
      </c>
      <c r="S76" s="25" t="inlineStr">
        <is>
          <t>Export is disabled or clearly labeled as partial according to requirement. No misleading complete report is generated.</t>
        </is>
      </c>
      <c r="T76" s="25" t="inlineStr">
        <is>
          <t>PDF service validates session state/version before generation.</t>
        </is>
      </c>
      <c r="U76" s="25" t="inlineStr">
        <is>
          <t>Export of a non-terminal session should be refused or clearly marked partial. RQ-16, unsettled.</t>
        </is>
      </c>
      <c r="V76" s="25" t="inlineStr">
        <is>
          <t>Check state, generated file presence, report labeling, and absence of stale report from another session.</t>
        </is>
      </c>
      <c r="W76" s="25" t="inlineStr">
        <is>
          <t>Incomplete sessions cannot produce an unlabeled or misleading complete report.</t>
        </is>
      </c>
      <c r="X76" s="24" t="inlineStr">
        <is>
          <t>Not Run</t>
        </is>
      </c>
      <c r="Y76" s="24" t="inlineStr"/>
      <c r="Z76" s="9">
        <f>COUNTIF('Defect Log'!$C$2:$C$500,$A76)</f>
        <v/>
      </c>
      <c r="AA76" s="24" t="inlineStr"/>
      <c r="AB76" s="24" t="inlineStr"/>
      <c r="AC76" s="24" t="inlineStr"/>
      <c r="AD76" s="24" t="inlineStr"/>
    </row>
    <row r="77" ht="58" customHeight="1">
      <c r="A77" s="23" t="inlineStr">
        <is>
          <t>SATE-PDF-006</t>
        </is>
      </c>
      <c r="B77" s="24" t="inlineStr">
        <is>
          <t>In scope</t>
        </is>
      </c>
      <c r="C77" s="25" t="inlineStr"/>
      <c r="D77" s="9" t="inlineStr">
        <is>
          <t>End User</t>
        </is>
      </c>
      <c r="E77" s="24" t="inlineStr">
        <is>
          <t>Tester</t>
        </is>
      </c>
      <c r="F77" s="25" t="inlineStr">
        <is>
          <t>Recorder · phone · browser</t>
        </is>
      </c>
      <c r="G77" s="24" t="inlineStr">
        <is>
          <t>PDF Export</t>
        </is>
      </c>
      <c r="H77" s="25" t="inlineStr">
        <is>
          <t>PDF file name, metadata, time zone, repeated export, and access</t>
        </is>
      </c>
      <c r="I77" s="24" t="inlineStr">
        <is>
          <t>P1</t>
        </is>
      </c>
      <c r="J77" s="24" t="inlineStr">
        <is>
          <t>Functional / Security</t>
        </is>
      </c>
      <c r="K77" s="25" t="inlineStr">
        <is>
          <t>RQ-16, RQ-17, RQ-19</t>
        </is>
      </c>
      <c r="L77" s="9" t="n">
        <v>3</v>
      </c>
      <c r="M77" s="25" t="inlineStr"/>
      <c r="N77" s="25" t="inlineStr">
        <is>
          <t>SATE Web App; PDF Service; Authorization</t>
        </is>
      </c>
      <c r="O77" s="25" t="inlineStr">
        <is>
          <t>Verify report naming, metadata consistency, repeatability, and authorized access.</t>
        </is>
      </c>
      <c r="P77" s="25" t="inlineStr">
        <is>
          <t>Completed session exists; user has export access.</t>
        </is>
      </c>
      <c r="Q77" s="25" t="inlineStr">
        <is>
          <t>Session with known local date/time and user ID.</t>
        </is>
      </c>
      <c r="R77" s="25" t="inlineStr">
        <is>
          <t>1. Export twice.
2. Review file names and document metadata.
3. Compare report date/time to Web App.
4. Attempt access after logout or URL expiration.</t>
        </is>
      </c>
      <c r="S77" s="25" t="inlineStr">
        <is>
          <t>File naming is deterministic and safe; repeat export does not create wrong content; unauthorized access is denied.</t>
        </is>
      </c>
      <c r="T77" s="25" t="inlineStr">
        <is>
          <t>Generated report remains bound to the correct session/version and protected by the approved authorization mechanism.</t>
        </is>
      </c>
      <c r="U77" s="25" t="inlineStr">
        <is>
          <t>Naming/metadata/authorization rules are RQ-16. Record behaviour.</t>
        </is>
      </c>
      <c r="V77" s="25" t="inlineStr">
        <is>
          <t>Check file name, report metadata, timestamps/time zone, version, access after logout, and duplicate report records.</t>
        </is>
      </c>
      <c r="W77" s="25" t="inlineStr">
        <is>
          <t>Repeated export is consistent and only authorized users can access the report.</t>
        </is>
      </c>
      <c r="X77" s="24" t="inlineStr">
        <is>
          <t>Not Run</t>
        </is>
      </c>
      <c r="Y77" s="24" t="inlineStr"/>
      <c r="Z77" s="9">
        <f>COUNTIF('Defect Log'!$C$2:$C$500,$A77)</f>
        <v/>
      </c>
      <c r="AA77" s="24" t="inlineStr"/>
      <c r="AB77" s="24" t="inlineStr"/>
      <c r="AC77" s="24" t="inlineStr"/>
      <c r="AD77" s="24" t="inlineStr"/>
    </row>
    <row r="78" ht="58" customHeight="1">
      <c r="A78" s="23" t="inlineStr">
        <is>
          <t>SATE-SEC-001</t>
        </is>
      </c>
      <c r="B78" s="24" t="inlineStr">
        <is>
          <t>In scope</t>
        </is>
      </c>
      <c r="C78" s="25" t="inlineStr"/>
      <c r="D78" s="9" t="inlineStr">
        <is>
          <t>End User</t>
        </is>
      </c>
      <c r="E78" s="24" t="inlineStr">
        <is>
          <t>Tester</t>
        </is>
      </c>
      <c r="F78" s="25" t="inlineStr">
        <is>
          <t>Recorder · phone · browser</t>
        </is>
      </c>
      <c r="G78" s="24" t="inlineStr">
        <is>
          <t>Security, Privacy, and Data Isolation</t>
        </is>
      </c>
      <c r="H78" s="25" t="inlineStr">
        <is>
          <t>User A cannot view User B's session through normal navigation</t>
        </is>
      </c>
      <c r="I78" s="24" t="inlineStr">
        <is>
          <t>P0</t>
        </is>
      </c>
      <c r="J78" s="24" t="inlineStr">
        <is>
          <t>Security / Authorization</t>
        </is>
      </c>
      <c r="K78" s="25" t="inlineStr">
        <is>
          <t>RQ-17</t>
        </is>
      </c>
      <c r="L78" s="9" t="n">
        <v>1</v>
      </c>
      <c r="M78" s="25" t="inlineStr"/>
      <c r="N78" s="25" t="inlineStr">
        <is>
          <t>SATE Web App; Supabase Row-Level Security; Authentication</t>
        </is>
      </c>
      <c r="O78" s="25" t="inlineStr">
        <is>
          <t>Verify tenant/user data isolation.</t>
        </is>
      </c>
      <c r="P78" s="25" t="inlineStr">
        <is>
          <t>User A and User B each have completed sessions.</t>
        </is>
      </c>
      <c r="Q78" s="25" t="inlineStr">
        <is>
          <t>Two non-admin accounts with distinct data.</t>
        </is>
      </c>
      <c r="R78" s="25" t="inlineStr">
        <is>
          <t>1. Log in as User A.
2. Review session list and search/filter.
3. Confirm User B's session is absent.
4. Repeat as User B.</t>
        </is>
      </c>
      <c r="S78" s="25" t="inlineStr">
        <is>
          <t>Each user sees only authorized sessions.</t>
        </is>
      </c>
      <c r="T78" s="25" t="inlineStr">
        <is>
          <t>Unauthorized rows/audio/report references are not returned by backend policies.</t>
        </is>
      </c>
      <c r="U78" s="25" t="inlineStr">
        <is>
          <t>Isolation is enforced by Supabase RLS on recordings / sate_device_sessions keyed on user_id. Verify with a direct PostgREST call using User A's token against User B's row — the UI hiding it is not proof.</t>
        </is>
      </c>
      <c r="V78" s="25" t="inlineStr">
        <is>
          <t>Review network responses, session IDs, audio/report URLs, and DB policy logs if available.</t>
        </is>
      </c>
      <c r="W78" s="25" t="inlineStr">
        <is>
          <t>No unauthorized metadata, transcript, annotation, audio, or report is exposed.</t>
        </is>
      </c>
      <c r="X78" s="24" t="inlineStr">
        <is>
          <t>Not Run</t>
        </is>
      </c>
      <c r="Y78" s="24" t="inlineStr"/>
      <c r="Z78" s="9">
        <f>COUNTIF('Defect Log'!$C$2:$C$500,$A78)</f>
        <v/>
      </c>
      <c r="AA78" s="24" t="inlineStr"/>
      <c r="AB78" s="24" t="inlineStr"/>
      <c r="AC78" s="24" t="inlineStr"/>
      <c r="AD78" s="24" t="inlineStr"/>
    </row>
    <row r="79" ht="58" customHeight="1">
      <c r="A79" s="23" t="inlineStr">
        <is>
          <t>SATE-SEC-002</t>
        </is>
      </c>
      <c r="B79" s="24" t="inlineStr">
        <is>
          <t>In scope</t>
        </is>
      </c>
      <c r="C79" s="25" t="inlineStr"/>
      <c r="D79" s="9" t="inlineStr">
        <is>
          <t>Both</t>
        </is>
      </c>
      <c r="E79" s="24" t="inlineStr">
        <is>
          <t>Tester + Engineer</t>
        </is>
      </c>
      <c r="F79" s="25" t="inlineStr">
        <is>
          <t>Recorder · phone · browser + Supabase read access · An HTTP client for direct PostgREST / device-api calls</t>
        </is>
      </c>
      <c r="G79" s="24" t="inlineStr">
        <is>
          <t>Security, Privacy, and Data Isolation</t>
        </is>
      </c>
      <c r="H79" s="25" t="inlineStr">
        <is>
          <t>Direct URL or session-ID manipulation</t>
        </is>
      </c>
      <c r="I79" s="24" t="inlineStr">
        <is>
          <t>P0</t>
        </is>
      </c>
      <c r="J79" s="24" t="inlineStr">
        <is>
          <t>Security / Authorization</t>
        </is>
      </c>
      <c r="K79" s="25" t="inlineStr">
        <is>
          <t>RQ-17</t>
        </is>
      </c>
      <c r="L79" s="9" t="n">
        <v>1</v>
      </c>
      <c r="M79" s="25" t="inlineStr"/>
      <c r="N79" s="25" t="inlineStr">
        <is>
          <t>SATE Web App; API; Supabase Row-Level Security</t>
        </is>
      </c>
      <c r="O79" s="25" t="inlineStr">
        <is>
          <t>Verify that changing a URL or request ID cannot bypass access control.</t>
        </is>
      </c>
      <c r="P79" s="25" t="inlineStr">
        <is>
          <t>User A knows or is given User B's test session ID.</t>
        </is>
      </c>
      <c r="Q79" s="25" t="inlineStr">
        <is>
          <t>Two user accounts and one unauthorized session ID.</t>
        </is>
      </c>
      <c r="R79" s="25" t="inlineStr">
        <is>
          <t>1. Log in as User A.
2. Replace URL/API session ID with User B's ID.
3. Attempt transcript, audio, annotation, and PDF access.</t>
        </is>
      </c>
      <c r="S79" s="25" t="inlineStr">
        <is>
          <t>UI returns an authorized Not Found/Access Denied response without revealing sensitive metadata.</t>
        </is>
      </c>
      <c r="T79" s="25" t="inlineStr">
        <is>
          <t>Backend rejects every unauthorized resource request regardless of client-side navigation.</t>
        </is>
      </c>
      <c r="U79" s="25" t="inlineStr">
        <is>
          <t>Same as SEC-001, at the API rather than the UI. A 200 here is a release blocker.</t>
        </is>
      </c>
      <c r="V79" s="25" t="inlineStr">
        <is>
          <t>Inspect HTTP status, response body, logs, and absence of leaked signed URLs or metadata.</t>
        </is>
      </c>
      <c r="W79" s="25" t="inlineStr">
        <is>
          <t>No protected content or existence-sensitive detail is disclosed.</t>
        </is>
      </c>
      <c r="X79" s="24" t="inlineStr">
        <is>
          <t>Not Run</t>
        </is>
      </c>
      <c r="Y79" s="24" t="inlineStr"/>
      <c r="Z79" s="9">
        <f>COUNTIF('Defect Log'!$C$2:$C$500,$A79)</f>
        <v/>
      </c>
      <c r="AA79" s="24" t="inlineStr"/>
      <c r="AB79" s="24" t="inlineStr"/>
      <c r="AC79" s="24" t="inlineStr"/>
      <c r="AD79" s="24" t="inlineStr"/>
    </row>
    <row r="80" ht="58" customHeight="1">
      <c r="A80" s="23" t="inlineStr">
        <is>
          <t>SATE-SEC-003</t>
        </is>
      </c>
      <c r="B80" s="24" t="inlineStr">
        <is>
          <t>In scope (reduced)</t>
        </is>
      </c>
      <c r="C80" s="25" t="inlineStr">
        <is>
          <t>Web app logout and token invalidation only. Skip mobile app logout.</t>
        </is>
      </c>
      <c r="D80" s="9" t="inlineStr">
        <is>
          <t>Both</t>
        </is>
      </c>
      <c r="E80" s="24" t="inlineStr">
        <is>
          <t>Tester + Engineer</t>
        </is>
      </c>
      <c r="F80" s="25" t="inlineStr">
        <is>
          <t>Recorder · phone · browser + Supabase read access</t>
        </is>
      </c>
      <c r="G80" s="24" t="inlineStr">
        <is>
          <t>Security, Privacy, and Data Isolation</t>
        </is>
      </c>
      <c r="H80" s="25" t="inlineStr">
        <is>
          <t>Logout and token invalidation</t>
        </is>
      </c>
      <c r="I80" s="24" t="inlineStr">
        <is>
          <t>P0</t>
        </is>
      </c>
      <c r="J80" s="24" t="inlineStr">
        <is>
          <t>Security</t>
        </is>
      </c>
      <c r="K80" s="25" t="inlineStr">
        <is>
          <t>RQ-17</t>
        </is>
      </c>
      <c r="L80" s="9" t="n">
        <v>1</v>
      </c>
      <c r="M80" s="25" t="inlineStr"/>
      <c r="N80" s="25" t="inlineStr">
        <is>
          <t>SATE Web App; Mobile App; Authentication</t>
        </is>
      </c>
      <c r="O80" s="25" t="inlineStr">
        <is>
          <t>Verify that an ended session cannot continue accessing protected data.</t>
        </is>
      </c>
      <c r="P80" s="25" t="inlineStr">
        <is>
          <t>User is logged in with an open transcript and active API token.</t>
        </is>
      </c>
      <c r="Q80" s="25" t="inlineStr">
        <is>
          <t>One authorized session.</t>
        </is>
      </c>
      <c r="R80" s="25" t="inlineStr">
        <is>
          <t>1. Open transcript/audio.
2. Log out.
3. Use browser Back, refresh, saved API request, and prior audio/report URL.
4. Attempt access from another tab.</t>
        </is>
      </c>
      <c r="S80" s="25" t="inlineStr">
        <is>
          <t>Protected pages redirect to login or deny access. Cached sensitive content is not newly retrievable.</t>
        </is>
      </c>
      <c r="T80" s="25" t="inlineStr">
        <is>
          <t>Expired/revoked token is rejected. Protected URLs follow the approved expiry policy.</t>
        </is>
      </c>
      <c r="U80" s="25" t="inlineStr">
        <is>
          <t>Token invalidation is Supabase Auth. Confirm an old token is rejected by device-api, not just by the web app.</t>
        </is>
      </c>
      <c r="V80" s="25" t="inlineStr">
        <is>
          <t>Check API status, cache behavior, signed URL validity, and session cookies/tokens.</t>
        </is>
      </c>
      <c r="W80" s="25" t="inlineStr">
        <is>
          <t>Logout prevents further protected access according to policy.</t>
        </is>
      </c>
      <c r="X80" s="24" t="inlineStr">
        <is>
          <t>Not Run</t>
        </is>
      </c>
      <c r="Y80" s="24" t="inlineStr"/>
      <c r="Z80" s="9">
        <f>COUNTIF('Defect Log'!$C$2:$C$500,$A80)</f>
        <v/>
      </c>
      <c r="AA80" s="24" t="inlineStr"/>
      <c r="AB80" s="24" t="inlineStr"/>
      <c r="AC80" s="24" t="inlineStr"/>
      <c r="AD80" s="24" t="inlineStr"/>
    </row>
    <row r="81" ht="58" customHeight="1">
      <c r="A81" s="26" t="inlineStr">
        <is>
          <t>SATE-SEC-004</t>
        </is>
      </c>
      <c r="B81" s="26" t="inlineStr">
        <is>
          <t>Deferred - mobile app</t>
        </is>
      </c>
      <c r="C81" s="27" t="inlineStr">
        <is>
          <t>Pending-session isolation across an account switch is purely mobile-app local storage.</t>
        </is>
      </c>
      <c r="D81" s="28" t="inlineStr">
        <is>
          <t>Both</t>
        </is>
      </c>
      <c r="E81" s="26" t="inlineStr">
        <is>
          <t>Tester + Engineer</t>
        </is>
      </c>
      <c r="F81" s="27" t="inlineStr">
        <is>
          <t>Recorder · phone · browser + Supabase read access</t>
        </is>
      </c>
      <c r="G81" s="26" t="inlineStr">
        <is>
          <t>Security, Privacy, and Data Isolation</t>
        </is>
      </c>
      <c r="H81" s="27" t="inlineStr">
        <is>
          <t>Pending local session remains isolated during account switch</t>
        </is>
      </c>
      <c r="I81" s="26" t="inlineStr">
        <is>
          <t>P0</t>
        </is>
      </c>
      <c r="J81" s="26" t="inlineStr">
        <is>
          <t>Security / Data Isolation</t>
        </is>
      </c>
      <c r="K81" s="27" t="inlineStr">
        <is>
          <t>RQ-17, RQ-22</t>
        </is>
      </c>
      <c r="L81" s="28" t="n">
        <v>2</v>
      </c>
      <c r="M81" s="27" t="inlineStr"/>
      <c r="N81" s="27" t="inlineStr">
        <is>
          <t>SATE Mobile App; Local Storage; Authentication</t>
        </is>
      </c>
      <c r="O81" s="27" t="inlineStr">
        <is>
          <t>Verify local clinical data cannot cross user boundaries.</t>
        </is>
      </c>
      <c r="P81" s="27" t="inlineStr">
        <is>
          <t>User A has an unsynced session and account switching is permitted.</t>
        </is>
      </c>
      <c r="Q81" s="27" t="inlineStr">
        <is>
          <t>User A and User B accounts.</t>
        </is>
      </c>
      <c r="R81" s="27" t="inlineStr">
        <is>
          <t>1. Create pending session as User A.
2. Switch to User B according to allowed flow.
3. Inspect local sessions and attempt upload/playback.
4. Return to User A.</t>
        </is>
      </c>
      <c r="S81" s="27" t="inlineStr">
        <is>
          <t>User B cannot see or interact with User A's pending data.</t>
        </is>
      </c>
      <c r="T81" s="27" t="inlineStr">
        <is>
          <t>Local encryption/ownership metadata keeps the item bound to User A; backend never receives it under User B.</t>
        </is>
      </c>
      <c r="U81" s="27" t="inlineStr">
        <is>
          <t>Pending local sessions must not become visible to the new account. Pairs with APP-006/007.</t>
        </is>
      </c>
      <c r="V81" s="27" t="inlineStr">
        <is>
          <t>Inspect local queue ownership, UI visibility, upload requests, and final backend owner.</t>
        </is>
      </c>
      <c r="W81" s="27" t="inlineStr">
        <is>
          <t>No cross-account access or upload occurs.</t>
        </is>
      </c>
      <c r="X81" s="26" t="inlineStr">
        <is>
          <t>Not Run</t>
        </is>
      </c>
      <c r="Y81" s="26" t="inlineStr"/>
      <c r="Z81" s="28">
        <f>COUNTIF('Defect Log'!$C$2:$C$500,$A81)</f>
        <v/>
      </c>
      <c r="AA81" s="26" t="inlineStr"/>
      <c r="AB81" s="26" t="inlineStr"/>
      <c r="AC81" s="26" t="inlineStr"/>
      <c r="AD81" s="26" t="inlineStr"/>
    </row>
    <row r="82" ht="58" customHeight="1">
      <c r="A82" s="23" t="inlineStr">
        <is>
          <t>SATE-SEC-005</t>
        </is>
      </c>
      <c r="B82" s="24" t="inlineStr">
        <is>
          <t>In scope</t>
        </is>
      </c>
      <c r="C82" s="25" t="inlineStr"/>
      <c r="D82" s="9" t="inlineStr">
        <is>
          <t>Both</t>
        </is>
      </c>
      <c r="E82" s="24" t="inlineStr">
        <is>
          <t>Tester + Engineer</t>
        </is>
      </c>
      <c r="F82" s="25" t="inlineStr">
        <is>
          <t>Recorder · phone · browser + Supabase read access</t>
        </is>
      </c>
      <c r="G82" s="24" t="inlineStr">
        <is>
          <t>Security, Privacy, and Data Isolation</t>
        </is>
      </c>
      <c r="H82" s="25" t="inlineStr">
        <is>
          <t>Role-based access to review, edit, export, retry, and administration</t>
        </is>
      </c>
      <c r="I82" s="24" t="inlineStr">
        <is>
          <t>P0</t>
        </is>
      </c>
      <c r="J82" s="24" t="inlineStr">
        <is>
          <t>Security / Functional</t>
        </is>
      </c>
      <c r="K82" s="25" t="inlineStr">
        <is>
          <t>RQ-17</t>
        </is>
      </c>
      <c r="L82" s="9" t="n">
        <v>1</v>
      </c>
      <c r="M82" s="25" t="inlineStr"/>
      <c r="N82" s="25" t="inlineStr">
        <is>
          <t>SATE Web App; Authentication; Authorization</t>
        </is>
      </c>
      <c r="O82" s="25" t="inlineStr">
        <is>
          <t>Verify each role has only approved actions.</t>
        </is>
      </c>
      <c r="P82" s="25" t="inlineStr">
        <is>
          <t>Test accounts exist for Viewer, Clinician/Editor, and Admin or the actual SATE roles.</t>
        </is>
      </c>
      <c r="Q82" s="25" t="inlineStr">
        <is>
          <t>One completed and one failed session.</t>
        </is>
      </c>
      <c r="R82" s="25" t="inlineStr">
        <is>
          <t>1. Log in as each role.
2. Attempt view, audio playback, edit, export, retry/reprocess, and administrative actions.
3. Attempt direct API calls for hidden actions.</t>
        </is>
      </c>
      <c r="S82" s="25" t="inlineStr">
        <is>
          <t>UI shows only permitted actions; forbidden actions are disabled or absent.</t>
        </is>
      </c>
      <c r="T82" s="25" t="inlineStr">
        <is>
          <t>Backend independently enforces permissions and rejects forbidden API calls.</t>
        </is>
      </c>
      <c r="U82" s="25" t="inlineStr">
        <is>
          <t>Admin is gated on the sate_admins table, by email; /admin manages ALL devices and firmware system-wide. ⚠️ **Known gap:** POST /firmware (publishFirmware) is routed **above** the /admin gate, so any authenticated user can push fleet-wide OTA. It validates the image (semver, 0xE9 magic, size cap) but has no isAdmin() check. Same in the Cloudflare port. Test it — it should fail, and it is a known open item, not a new finding.</t>
        </is>
      </c>
      <c r="V82" s="25" t="inlineStr">
        <is>
          <t>Record action matrix, HTTP results, audit entries, and any exposed data.</t>
        </is>
      </c>
      <c r="W82" s="25" t="inlineStr">
        <is>
          <t>Every action matches the approved role matrix with no client-side-only security.</t>
        </is>
      </c>
      <c r="X82" s="24" t="inlineStr">
        <is>
          <t>Not Run</t>
        </is>
      </c>
      <c r="Y82" s="24" t="inlineStr"/>
      <c r="Z82" s="9">
        <f>COUNTIF('Defect Log'!$C$2:$C$500,$A82)</f>
        <v/>
      </c>
      <c r="AA82" s="24" t="inlineStr"/>
      <c r="AB82" s="24" t="inlineStr"/>
      <c r="AC82" s="24" t="inlineStr"/>
      <c r="AD82" s="24" t="inlineStr"/>
    </row>
    <row r="83" ht="58" customHeight="1">
      <c r="A83" s="23" t="inlineStr">
        <is>
          <t>SATE-SEC-006</t>
        </is>
      </c>
      <c r="B83" s="24" t="inlineStr">
        <is>
          <t>In scope</t>
        </is>
      </c>
      <c r="C83" s="25" t="inlineStr"/>
      <c r="D83" s="9" t="inlineStr">
        <is>
          <t>Both</t>
        </is>
      </c>
      <c r="E83" s="24" t="inlineStr">
        <is>
          <t>Tester + Engineer</t>
        </is>
      </c>
      <c r="F83" s="25" t="inlineStr">
        <is>
          <t>Recorder · phone · browser + Supabase read access · Ability to read a signed URL and wait out its expiry</t>
        </is>
      </c>
      <c r="G83" s="24" t="inlineStr">
        <is>
          <t>Security, Privacy, and Data Isolation</t>
        </is>
      </c>
      <c r="H83" s="25" t="inlineStr">
        <is>
          <t>Signed audio/report URL expiry and sharing</t>
        </is>
      </c>
      <c r="I83" s="24" t="inlineStr">
        <is>
          <t>P0</t>
        </is>
      </c>
      <c r="J83" s="24" t="inlineStr">
        <is>
          <t>Security</t>
        </is>
      </c>
      <c r="K83" s="25" t="inlineStr">
        <is>
          <t>RQ-17</t>
        </is>
      </c>
      <c r="L83" s="9" t="n">
        <v>1</v>
      </c>
      <c r="M83" s="25" t="inlineStr"/>
      <c r="N83" s="25" t="inlineStr">
        <is>
          <t>SATE Web App; Storage; PDF Service; Authorization</t>
        </is>
      </c>
      <c r="O83" s="25" t="inlineStr">
        <is>
          <t>Verify temporary resource links cannot provide indefinite unauthorized access.</t>
        </is>
      </c>
      <c r="P83" s="25" t="inlineStr">
        <is>
          <t>System uses signed/temporary URLs or equivalent protected access.</t>
        </is>
      </c>
      <c r="Q83" s="25" t="inlineStr">
        <is>
          <t>One audio URL and one PDF URL.</t>
        </is>
      </c>
      <c r="R83" s="25" t="inlineStr">
        <is>
          <t>1. Obtain authorized URLs.
2. Test before expiry.
3. Test in a logged-out/private browser.
4. Test after expiry.
5. Request a new authorized URL.</t>
        </is>
      </c>
      <c r="S83" s="25" t="inlineStr">
        <is>
          <t>Access follows policy; expired or unauthorized links fail cleanly.</t>
        </is>
      </c>
      <c r="T83" s="25" t="inlineStr">
        <is>
          <t>Storage/PDF endpoint validates signature, expiry, and authorization as designed.</t>
        </is>
      </c>
      <c r="U83" s="25" t="inlineStr">
        <is>
          <t>Signed URLs come from Supabase Storage. Confirm expiry is actually enforced by requesting after it lapses.</t>
        </is>
      </c>
      <c r="V83" s="25" t="inlineStr">
        <is>
          <t>Record URL lifetime, HTTP results, referrer/cache behavior, and new-link generation.</t>
        </is>
      </c>
      <c r="W83" s="25" t="inlineStr">
        <is>
          <t>Protected media and reports are not indefinitely accessible through copied links.</t>
        </is>
      </c>
      <c r="X83" s="24" t="inlineStr">
        <is>
          <t>Not Run</t>
        </is>
      </c>
      <c r="Y83" s="24" t="inlineStr"/>
      <c r="Z83" s="9">
        <f>COUNTIF('Defect Log'!$C$2:$C$500,$A83)</f>
        <v/>
      </c>
      <c r="AA83" s="24" t="inlineStr"/>
      <c r="AB83" s="24" t="inlineStr"/>
      <c r="AC83" s="24" t="inlineStr"/>
      <c r="AD83" s="24" t="inlineStr"/>
    </row>
    <row r="84" ht="58" customHeight="1">
      <c r="A84" s="23" t="inlineStr">
        <is>
          <t>SATE-SEC-007</t>
        </is>
      </c>
      <c r="B84" s="24" t="inlineStr">
        <is>
          <t>In scope</t>
        </is>
      </c>
      <c r="C84" s="25" t="inlineStr"/>
      <c r="D84" s="9" t="inlineStr">
        <is>
          <t>Server Side</t>
        </is>
      </c>
      <c r="E84" s="24" t="inlineStr">
        <is>
          <t>Engineer</t>
        </is>
      </c>
      <c r="F84" s="25" t="inlineStr">
        <is>
          <t>Supabase SQL + Storage · cf-processor logs · Log access · database access for audit and retention checks</t>
        </is>
      </c>
      <c r="G84" s="24" t="inlineStr">
        <is>
          <t>Security, Privacy, and Data Isolation</t>
        </is>
      </c>
      <c r="H84" s="25" t="inlineStr">
        <is>
          <t>Deletion, retention, audit trail, and sensitive logging</t>
        </is>
      </c>
      <c r="I84" s="24" t="inlineStr">
        <is>
          <t>P0</t>
        </is>
      </c>
      <c r="J84" s="24" t="inlineStr">
        <is>
          <t>Security / Privacy / Data Lifecycle</t>
        </is>
      </c>
      <c r="K84" s="25" t="inlineStr">
        <is>
          <t>RQ-18</t>
        </is>
      </c>
      <c r="L84" s="9" t="n">
        <v>1</v>
      </c>
      <c r="M84" s="25" t="inlineStr"/>
      <c r="N84" s="25" t="inlineStr">
        <is>
          <t>SATE Web App; Supabase; Storage; Edge Functions; Logs</t>
        </is>
      </c>
      <c r="O84" s="25" t="inlineStr">
        <is>
          <t>Verify approved deletion/retention behavior and absence of unnecessary sensitive content in logs.</t>
        </is>
      </c>
      <c r="P84" s="25" t="inlineStr">
        <is>
          <t>Test session can be deleted or marked for deletion; log access is available to authorized tester.</t>
        </is>
      </c>
      <c r="Q84" s="25" t="inlineStr">
        <is>
          <t>One completed session with transcript, annotations, audio, report, and edit/retry history.</t>
        </is>
      </c>
      <c r="R84" s="25" t="inlineStr">
        <is>
          <t>1. Review audit records before deletion.
2. Delete according to the approved workflow.
3. Attempt access to session, audio, transcript, and PDF.
4. Inspect storage/DB/processing records and logs.
5. Verify retention exceptions if applicable.</t>
        </is>
      </c>
      <c r="S84" s="25" t="inlineStr">
        <is>
          <t>User sees a clear deletion outcome and can no longer access deleted content unless policy provides a recoverable period.</t>
        </is>
      </c>
      <c r="T84" s="25" t="inlineStr">
        <is>
          <t>All related resources are deleted, tombstoned, or retained exactly according to policy. Logs avoid raw sensitive audio/transcript unless explicitly approved.</t>
        </is>
      </c>
      <c r="U84" s="25" t="inlineStr">
        <is>
          <t>Deletion/retention is RQ-18, unsettled. Note the device side is already decided: full deletion is **user-only** (deleteSessionFiles(), the Delete button); automatic reclaim frees audio only after server verification and keeps a .synced tombstone so the slot stays numbered. Check logs for leaked device keys or tokens.</t>
        </is>
      </c>
      <c r="V84" s="25" t="inlineStr">
        <is>
          <t>Check session row, audio object, result rows, report, signed URLs, audit entries, backups/retention markers, and log contents.</t>
        </is>
      </c>
      <c r="W84" s="25" t="inlineStr">
        <is>
          <t>Data lifecycle matches policy and logs do not expose unnecessary sensitive clinical content.</t>
        </is>
      </c>
      <c r="X84" s="24" t="inlineStr">
        <is>
          <t>Not Run</t>
        </is>
      </c>
      <c r="Y84" s="24" t="inlineStr"/>
      <c r="Z84" s="9">
        <f>COUNTIF('Defect Log'!$C$2:$C$500,$A84)</f>
        <v/>
      </c>
      <c r="AA84" s="24" t="inlineStr"/>
      <c r="AB84" s="24" t="inlineStr"/>
      <c r="AC84" s="24" t="inlineStr"/>
      <c r="AD84" s="24" t="inlineStr"/>
    </row>
    <row r="85" ht="58" customHeight="1">
      <c r="A85" s="26" t="inlineStr">
        <is>
          <t>SATE-COMP-001</t>
        </is>
      </c>
      <c r="B85" s="26" t="inlineStr">
        <is>
          <t>Deferred - mobile app</t>
        </is>
      </c>
      <c r="C85" s="27" t="inlineStr">
        <is>
          <t>iOS / Android version matrix.</t>
        </is>
      </c>
      <c r="D85" s="28" t="inlineStr">
        <is>
          <t>End User</t>
        </is>
      </c>
      <c r="E85" s="26" t="inlineStr">
        <is>
          <t>Tester</t>
        </is>
      </c>
      <c r="F85" s="27" t="inlineStr">
        <is>
          <t>Recorder · phone · browser</t>
        </is>
      </c>
      <c r="G85" s="26" t="inlineStr">
        <is>
          <t>Compatibility and Deployment</t>
        </is>
      </c>
      <c r="H85" s="27" t="inlineStr">
        <is>
          <t>Supported iOS and Android versions and representative devices</t>
        </is>
      </c>
      <c r="I85" s="26" t="inlineStr">
        <is>
          <t>P1</t>
        </is>
      </c>
      <c r="J85" s="26" t="inlineStr">
        <is>
          <t>Compatibility</t>
        </is>
      </c>
      <c r="K85" s="27" t="inlineStr">
        <is>
          <t>RQ-19</t>
        </is>
      </c>
      <c r="L85" s="28" t="n">
        <v>1</v>
      </c>
      <c r="M85" s="27" t="inlineStr"/>
      <c r="N85" s="27" t="inlineStr">
        <is>
          <t>SATE Mobile App; BLE Accessory; OS</t>
        </is>
      </c>
      <c r="O85" s="27" t="inlineStr">
        <is>
          <t>Verify core workflows across the supported mobile matrix.</t>
        </is>
      </c>
      <c r="P85" s="27" t="inlineStr">
        <is>
          <t>Supported OS/device list is approved.</t>
        </is>
      </c>
      <c r="Q85" s="27" t="inlineStr">
        <is>
          <t>At minimum: oldest supported iOS, current iOS, oldest supported Android, current Android, one low-end Android, one current flagship.</t>
        </is>
      </c>
      <c r="R85" s="27" t="inlineStr">
        <is>
          <t>1. Install and log in on each device.
2. Pair BLE device.
3. Record, upload, review status, and recover from one brief network loss.
4. Compare behavior.</t>
        </is>
      </c>
      <c r="S85" s="27" t="inlineStr">
        <is>
          <t>Core controls, permissions, background behavior, and status displays work consistently.</t>
        </is>
      </c>
      <c r="T85" s="27" t="inlineStr">
        <is>
          <t>Sessions from all supported devices use valid metadata and complete normally.</t>
        </is>
      </c>
      <c r="U85" s="27" t="inlineStr">
        <is>
          <t>Record OS/app versions in the evidence. No server-side check.</t>
        </is>
      </c>
      <c r="V85" s="27" t="inlineStr">
        <is>
          <t>Record OS, model, app version, device ID, session result, crash logs, and performance notes.</t>
        </is>
      </c>
      <c r="W85" s="27" t="inlineStr">
        <is>
          <t>All release-supported mobile configurations pass P0 workflows or have documented exceptions.</t>
        </is>
      </c>
      <c r="X85" s="26" t="inlineStr">
        <is>
          <t>Not Run</t>
        </is>
      </c>
      <c r="Y85" s="26" t="inlineStr"/>
      <c r="Z85" s="28">
        <f>COUNTIF('Defect Log'!$C$2:$C$500,$A85)</f>
        <v/>
      </c>
      <c r="AA85" s="26" t="inlineStr"/>
      <c r="AB85" s="26" t="inlineStr"/>
      <c r="AC85" s="26" t="inlineStr"/>
      <c r="AD85" s="26" t="inlineStr"/>
    </row>
    <row r="86" ht="58" customHeight="1">
      <c r="A86" s="23" t="inlineStr">
        <is>
          <t>SATE-COMP-002</t>
        </is>
      </c>
      <c r="B86" s="24" t="inlineStr">
        <is>
          <t>In scope</t>
        </is>
      </c>
      <c r="C86" s="25" t="inlineStr"/>
      <c r="D86" s="9" t="inlineStr">
        <is>
          <t>End User</t>
        </is>
      </c>
      <c r="E86" s="24" t="inlineStr">
        <is>
          <t>Tester</t>
        </is>
      </c>
      <c r="F86" s="25" t="inlineStr">
        <is>
          <t>Recorder · phone · browser</t>
        </is>
      </c>
      <c r="G86" s="24" t="inlineStr">
        <is>
          <t>Compatibility and Deployment</t>
        </is>
      </c>
      <c r="H86" s="25" t="inlineStr">
        <is>
          <t>Supported desktop browsers for Web App and PDF</t>
        </is>
      </c>
      <c r="I86" s="24" t="inlineStr">
        <is>
          <t>P1</t>
        </is>
      </c>
      <c r="J86" s="24" t="inlineStr">
        <is>
          <t>Compatibility</t>
        </is>
      </c>
      <c r="K86" s="25" t="inlineStr">
        <is>
          <t>RQ-19</t>
        </is>
      </c>
      <c r="L86" s="9" t="n">
        <v>1</v>
      </c>
      <c r="M86" s="25" t="inlineStr"/>
      <c r="N86" s="25" t="inlineStr">
        <is>
          <t>SATE Web App; Chrome; Edge; Safari; PDF Viewer</t>
        </is>
      </c>
      <c r="O86" s="25" t="inlineStr">
        <is>
          <t>Verify review, editing, audio playback, and PDF export across supported browsers.</t>
        </is>
      </c>
      <c r="P86" s="25" t="inlineStr">
        <is>
          <t>Supported browser/version list is approved.</t>
        </is>
      </c>
      <c r="Q86" s="25" t="inlineStr">
        <is>
          <t>Latest supported Chrome, Edge, and Safari; representative screen sizes.</t>
        </is>
      </c>
      <c r="R86" s="25" t="inlineStr">
        <is>
          <t>1. Log in on each browser.
2. Open session list and transcript.
3. Play audio.
4. Edit/save if supported.
5. Export/open PDF.</t>
        </is>
      </c>
      <c r="S86" s="25" t="inlineStr">
        <is>
          <t>Layout, controls, audio, editing, and PDF work without browser-specific corruption.</t>
        </is>
      </c>
      <c r="T86" s="25" t="inlineStr">
        <is>
          <t>Requests and saved versions remain consistent across browsers.</t>
        </is>
      </c>
      <c r="U86" s="25" t="inlineStr">
        <is>
          <t>Browser matrix only.</t>
        </is>
      </c>
      <c r="V86" s="25" t="inlineStr">
        <is>
          <t>Record browser/version, session ID, functional results, console errors, and screenshots.</t>
        </is>
      </c>
      <c r="W86" s="25" t="inlineStr">
        <is>
          <t>All supported browsers complete the approved workflow without data integrity defects.</t>
        </is>
      </c>
      <c r="X86" s="24" t="inlineStr">
        <is>
          <t>Not Run</t>
        </is>
      </c>
      <c r="Y86" s="24" t="inlineStr"/>
      <c r="Z86" s="9">
        <f>COUNTIF('Defect Log'!$C$2:$C$500,$A86)</f>
        <v/>
      </c>
      <c r="AA86" s="24" t="inlineStr"/>
      <c r="AB86" s="24" t="inlineStr"/>
      <c r="AC86" s="24" t="inlineStr"/>
      <c r="AD86" s="24" t="inlineStr"/>
    </row>
    <row r="87" ht="58" customHeight="1">
      <c r="A87" s="23" t="inlineStr">
        <is>
          <t>SATE-COMP-003</t>
        </is>
      </c>
      <c r="B87" s="24" t="inlineStr">
        <is>
          <t>In scope (reduced)</t>
        </is>
      </c>
      <c r="C87" s="25" t="inlineStr">
        <is>
          <t>Older recorder firmware against the current backend. Skip the older app build.</t>
        </is>
      </c>
      <c r="D87" s="9" t="inlineStr">
        <is>
          <t>Both</t>
        </is>
      </c>
      <c r="E87" s="24" t="inlineStr">
        <is>
          <t>Tester + Engineer</t>
        </is>
      </c>
      <c r="F87" s="25" t="inlineStr">
        <is>
          <t>Recorder · phone · browser + Supabase read access · An older app build and an older firmware image</t>
        </is>
      </c>
      <c r="G87" s="24" t="inlineStr">
        <is>
          <t>Compatibility and Deployment</t>
        </is>
      </c>
      <c r="H87" s="25" t="inlineStr">
        <is>
          <t>Older app/firmware version against current backend</t>
        </is>
      </c>
      <c r="I87" s="24" t="inlineStr">
        <is>
          <t>P1</t>
        </is>
      </c>
      <c r="J87" s="24" t="inlineStr">
        <is>
          <t>Backward Compatibility</t>
        </is>
      </c>
      <c r="K87" s="25" t="inlineStr">
        <is>
          <t>RQ-19</t>
        </is>
      </c>
      <c r="L87" s="9" t="n">
        <v>1</v>
      </c>
      <c r="M87" s="25" t="inlineStr"/>
      <c r="N87" s="25" t="inlineStr">
        <is>
          <t>SATE Recorder Firmware; Mobile App; Supabase; Edge Functions</t>
        </is>
      </c>
      <c r="O87" s="25" t="inlineStr">
        <is>
          <t>Verify supported version compatibility and safe rejection of unsupported versions.</t>
        </is>
      </c>
      <c r="P87" s="25" t="inlineStr">
        <is>
          <t>One older supported build and one intentionally unsupported build are available.</t>
        </is>
      </c>
      <c r="Q87" s="25" t="inlineStr">
        <is>
          <t>Older recorder firmware/mobile app test devices.</t>
        </is>
      </c>
      <c r="R87" s="25" t="inlineStr">
        <is>
          <t>1. Connect the older supported version and run a session.
2. Attempt the same with an unsupported version.
3. Observe upgrade messaging and backend handling.</t>
        </is>
      </c>
      <c r="S87" s="25" t="inlineStr">
        <is>
          <t>Supported older version works as documented. Unsupported version is blocked or warned before data loss occurs.</t>
        </is>
      </c>
      <c r="T87" s="25" t="inlineStr">
        <is>
          <t>Backend validates schema/version and does not store malformed incompatible records.</t>
        </is>
      </c>
      <c r="U87" s="25" t="inlineStr">
        <is>
          <t>Older firmware against current backend. device-api is versioned in-comment (currently v18) and routes are additive — /sessions/verify (v15) and /sessions/upload-progress (v16) simply do not exist for older firmware, which must degrade rather than fail. A recorder below fw 1.5.13 does not use verified trim at all.</t>
        </is>
      </c>
      <c r="V87" s="25" t="inlineStr">
        <is>
          <t>Check app/firmware version metadata, API response, session schema, and upgrade path.</t>
        </is>
      </c>
      <c r="W87" s="25" t="inlineStr">
        <is>
          <t>Version compatibility follows the release policy with no silent corruption.</t>
        </is>
      </c>
      <c r="X87" s="24" t="inlineStr">
        <is>
          <t>Not Run</t>
        </is>
      </c>
      <c r="Y87" s="24" t="inlineStr"/>
      <c r="Z87" s="9">
        <f>COUNTIF('Defect Log'!$C$2:$C$500,$A87)</f>
        <v/>
      </c>
      <c r="AA87" s="24" t="inlineStr"/>
      <c r="AB87" s="24" t="inlineStr"/>
      <c r="AC87" s="24" t="inlineStr"/>
      <c r="AD87" s="24" t="inlineStr"/>
    </row>
    <row r="88" ht="58" customHeight="1">
      <c r="A88" s="23" t="inlineStr">
        <is>
          <t>SATE-COMP-004</t>
        </is>
      </c>
      <c r="B88" s="24" t="inlineStr">
        <is>
          <t>In scope (reduced)</t>
        </is>
      </c>
      <c r="C88" s="25" t="inlineStr">
        <is>
          <t>Recorder clock and stored timestamps. Skip phone clock skew.</t>
        </is>
      </c>
      <c r="D88" s="9" t="inlineStr">
        <is>
          <t>Both</t>
        </is>
      </c>
      <c r="E88" s="24" t="inlineStr">
        <is>
          <t>Tester + Engineer</t>
        </is>
      </c>
      <c r="F88" s="25" t="inlineStr">
        <is>
          <t>Recorder · phone · browser + Supabase read access</t>
        </is>
      </c>
      <c r="G88" s="24" t="inlineStr">
        <is>
          <t>Compatibility and Deployment</t>
        </is>
      </c>
      <c r="H88" s="25" t="inlineStr">
        <is>
          <t>Time zone, daylight-saving transition, and device clock skew</t>
        </is>
      </c>
      <c r="I88" s="24" t="inlineStr">
        <is>
          <t>P1</t>
        </is>
      </c>
      <c r="J88" s="24" t="inlineStr">
        <is>
          <t>Compatibility / Data Integrity</t>
        </is>
      </c>
      <c r="K88" s="25" t="inlineStr">
        <is>
          <t>RQ-19</t>
        </is>
      </c>
      <c r="L88" s="9" t="n">
        <v>1</v>
      </c>
      <c r="M88" s="25" t="inlineStr"/>
      <c r="N88" s="25" t="inlineStr">
        <is>
          <t>SATE Recorder; Mobile App; Supabase; Web App; PDF</t>
        </is>
      </c>
      <c r="O88" s="25" t="inlineStr">
        <is>
          <t>Verify canonical time storage and correct display under clock differences.</t>
        </is>
      </c>
      <c r="P88" s="25" t="inlineStr">
        <is>
          <t>Test environment can change time zone/clock or use simulated timestamps.</t>
        </is>
      </c>
      <c r="Q88" s="25" t="inlineStr">
        <is>
          <t>Sessions across two time zones; one device clock intentionally skewed; DST boundary simulation if practical.</t>
        </is>
      </c>
      <c r="R88" s="25" t="inlineStr">
        <is>
          <t>1. Record sessions in each time setting.
2. Sync and review Web App/PDF timestamps.
3. Correct device clock and repeat.
4. Compare ordering and duration.</t>
        </is>
      </c>
      <c r="S88" s="25" t="inlineStr">
        <is>
          <t>Displayed local time follows product rules; warning appears for severe clock skew if supported; duration remains correct.</t>
        </is>
      </c>
      <c r="T88" s="25" t="inlineStr">
        <is>
          <t>Canonical server timestamps and device timestamps are distinguishable and do not reorder or mis-associate sessions incorrectly.</t>
        </is>
      </c>
      <c r="U88" s="25" t="inlineStr">
        <is>
          <t>Canonical timestamps are UTC; only display converts. A DST shift must not move a stored value.</t>
        </is>
      </c>
      <c r="V88" s="25" t="inlineStr">
        <is>
          <t>Compare UTC/local timestamps, time-zone field, duration, sort order, and PDF metadata.</t>
        </is>
      </c>
      <c r="W88" s="25" t="inlineStr">
        <is>
          <t>No unexplained one-hour/day shift, negative duration, or incorrect session ordering occurs.</t>
        </is>
      </c>
      <c r="X88" s="24" t="inlineStr">
        <is>
          <t>Not Run</t>
        </is>
      </c>
      <c r="Y88" s="24" t="inlineStr"/>
      <c r="Z88" s="9">
        <f>COUNTIF('Defect Log'!$C$2:$C$500,$A88)</f>
        <v/>
      </c>
      <c r="AA88" s="24" t="inlineStr"/>
      <c r="AB88" s="24" t="inlineStr"/>
      <c r="AC88" s="24" t="inlineStr"/>
      <c r="AD88" s="24" t="inlineStr"/>
    </row>
    <row r="89" ht="58" customHeight="1">
      <c r="A89" s="26" t="inlineStr">
        <is>
          <t>SATE-COMP-005</t>
        </is>
      </c>
      <c r="B89" s="26" t="inlineStr">
        <is>
          <t>Deferred - mobile app</t>
        </is>
      </c>
      <c r="C89" s="27" t="inlineStr">
        <is>
          <t>Low-end phone performance.</t>
        </is>
      </c>
      <c r="D89" s="28" t="inlineStr">
        <is>
          <t>End User</t>
        </is>
      </c>
      <c r="E89" s="26" t="inlineStr">
        <is>
          <t>Tester</t>
        </is>
      </c>
      <c r="F89" s="27" t="inlineStr">
        <is>
          <t>Recorder · phone · browser</t>
        </is>
      </c>
      <c r="G89" s="26" t="inlineStr">
        <is>
          <t>Compatibility and Deployment</t>
        </is>
      </c>
      <c r="H89" s="27" t="inlineStr">
        <is>
          <t>Low-end device and degraded network performance</t>
        </is>
      </c>
      <c r="I89" s="26" t="inlineStr">
        <is>
          <t>P1</t>
        </is>
      </c>
      <c r="J89" s="26" t="inlineStr">
        <is>
          <t>Performance / Compatibility</t>
        </is>
      </c>
      <c r="K89" s="27" t="inlineStr">
        <is>
          <t>RQ-19, RQ-20</t>
        </is>
      </c>
      <c r="L89" s="28" t="n">
        <v>2</v>
      </c>
      <c r="M89" s="27" t="inlineStr">
        <is>
          <t>RQ-20</t>
        </is>
      </c>
      <c r="N89" s="27" t="inlineStr">
        <is>
          <t>SATE Mobile App; BLE Accessory; Supabase; Web App</t>
        </is>
      </c>
      <c r="O89" s="27" t="inlineStr">
        <is>
          <t>Verify minimum supported hardware remains usable under realistic constraints.</t>
        </is>
      </c>
      <c r="P89" s="27" t="inlineStr">
        <is>
          <t>Low-end supported phone and throttled/weak network are available.</t>
        </is>
      </c>
      <c r="Q89" s="27" t="inlineStr">
        <is>
          <t>10-minute recording; limited memory/storage; high latency and low bandwidth.</t>
        </is>
      </c>
      <c r="R89" s="27" t="inlineStr">
        <is>
          <t>1. Pair device and record.
2. Background/foreground once.
3. Upload over degraded network.
4. Review transcript and export PDF.
5. Capture resource metrics and errors.</t>
        </is>
      </c>
      <c r="S89" s="27" t="inlineStr">
        <is>
          <t>App remains responsive enough to complete the workflow and communicates delays clearly.</t>
        </is>
      </c>
      <c r="T89" s="27" t="inlineStr">
        <is>
          <t>Retries remain bounded; session completes or reaches a clear recoverable state without duplicate jobs.</t>
        </is>
      </c>
      <c r="U89" s="27" t="inlineStr">
        <is>
          <t>Observation only.</t>
        </is>
      </c>
      <c r="V89" s="27" t="inlineStr">
        <is>
          <t>Record memory, battery, upload time, crash/ANR logs, session/object counts, and final integrity.</t>
        </is>
      </c>
      <c r="W89" s="27" t="inlineStr">
        <is>
          <t>Minimum supported hardware/network completes the workflow or fails safely within documented limits.</t>
        </is>
      </c>
      <c r="X89" s="26" t="inlineStr">
        <is>
          <t>Not Run</t>
        </is>
      </c>
      <c r="Y89" s="26" t="inlineStr"/>
      <c r="Z89" s="28">
        <f>COUNTIF('Defect Log'!$C$2:$C$500,$A89)</f>
        <v/>
      </c>
      <c r="AA89" s="26" t="inlineStr"/>
      <c r="AB89" s="26" t="inlineStr"/>
      <c r="AC89" s="26" t="inlineStr"/>
      <c r="AD89" s="26" t="inlineStr"/>
    </row>
  </sheetData>
  <autoFilter ref="A1:AD89"/>
  <conditionalFormatting sqref="A2:AB89">
    <cfRule type="expression" priority="1" dxfId="2">
      <formula>AND($X2="Fail",$I2="P0")</formula>
    </cfRule>
    <cfRule type="expression" priority="2" dxfId="3">
      <formula>$X2="Fail"</formula>
    </cfRule>
    <cfRule type="expression" priority="3" dxfId="4">
      <formula>$X2="Pass"</formula>
    </cfRule>
    <cfRule type="expression" priority="4" dxfId="5">
      <formula>$X2="Blocked"</formula>
    </cfRule>
  </conditionalFormatting>
  <conditionalFormatting sqref="M2:M89">
    <cfRule type="expression" priority="5" dxfId="6">
      <formula>LEN($M2)&gt;0</formula>
    </cfRule>
  </conditionalFormatting>
  <conditionalFormatting sqref="I2:I89">
    <cfRule type="cellIs" priority="6" operator="equal" dxfId="7">
      <formula>"P0"</formula>
    </cfRule>
  </conditionalFormatting>
  <conditionalFormatting sqref="B2:C89">
    <cfRule type="expression" priority="7" dxfId="8">
      <formula>LEFT($B2,8)="Deferred"</formula>
    </cfRule>
  </conditionalFormatting>
  <conditionalFormatting sqref="B2:B89">
    <cfRule type="expression" priority="8" dxfId="6">
      <formula>$B2="In scope (reduced)"</formula>
    </cfRule>
  </conditionalFormatting>
  <conditionalFormatting sqref="D2:E89">
    <cfRule type="expression" priority="9" dxfId="9">
      <formula>$D2="End User"</formula>
    </cfRule>
    <cfRule type="expression" priority="10" dxfId="10">
      <formula>$D2="Server Side"</formula>
    </cfRule>
    <cfRule type="expression" priority="11" dxfId="11">
      <formula>$D2="Both"</formula>
    </cfRule>
  </conditionalFormatting>
  <dataValidations count="2">
    <dataValidation sqref="X2:X89" showDropDown="0" showInputMessage="0" showErrorMessage="0" allowBlank="1" errorTitle="Invalid status" error="Pick a status from the list." type="list">
      <formula1>=Lists!$A$2:$A$6</formula1>
    </dataValidation>
    <dataValidation sqref="B2:B89" showDropDown="0" showInputMessage="0" showErrorMessage="0" allowBlank="1" type="list">
      <formula1>=Lists!$H$2:$H$5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30" customWidth="1" min="2" max="2"/>
    <col width="20" customWidth="1" min="3" max="3"/>
    <col width="92" customWidth="1" min="4" max="4"/>
    <col width="46" customWidth="1" min="5" max="5"/>
    <col width="8" customWidth="1" min="6" max="6"/>
    <col width="9" customWidth="1" min="7" max="7"/>
    <col width="9" customWidth="1" min="8" max="8"/>
    <col width="9" customWidth="1" min="9" max="9"/>
    <col width="9" customWidth="1" min="10" max="10"/>
    <col width="9" customWidth="1" min="11" max="11"/>
    <col width="20" customWidth="1" min="12" max="12"/>
  </cols>
  <sheetData>
    <row r="1" ht="30" customHeight="1">
      <c r="A1" s="22" t="inlineStr">
        <is>
          <t>Requirement ID</t>
        </is>
      </c>
      <c r="B1" s="22" t="inlineStr">
        <is>
          <t>Topic</t>
        </is>
      </c>
      <c r="C1" s="22" t="inlineStr">
        <is>
          <t>Definition Status</t>
        </is>
      </c>
      <c r="D1" s="22" t="inlineStr">
        <is>
          <t>Definition / Decision Needed</t>
        </is>
      </c>
      <c r="E1" s="22" t="inlineStr">
        <is>
          <t>Linked Test Cases</t>
        </is>
      </c>
      <c r="F1" s="22" t="inlineStr">
        <is>
          <t>Cases</t>
        </is>
      </c>
      <c r="G1" s="22" t="inlineStr">
        <is>
          <t>P0 Cases</t>
        </is>
      </c>
      <c r="H1" s="22" t="inlineStr">
        <is>
          <t>Passed</t>
        </is>
      </c>
      <c r="I1" s="22" t="inlineStr">
        <is>
          <t>Failed</t>
        </is>
      </c>
      <c r="J1" s="22" t="inlineStr">
        <is>
          <t>Blocked</t>
        </is>
      </c>
      <c r="K1" s="22" t="inlineStr">
        <is>
          <t>Not Run</t>
        </is>
      </c>
      <c r="L1" s="22" t="inlineStr">
        <is>
          <t>Coverage</t>
        </is>
      </c>
    </row>
    <row r="2" ht="46" customHeight="1">
      <c r="A2" s="23" t="inlineStr">
        <is>
          <t>RQ-01</t>
        </is>
      </c>
      <c r="B2" s="25" t="inlineStr">
        <is>
          <t>Session state model</t>
        </is>
      </c>
      <c r="C2" s="24" t="inlineStr">
        <is>
          <t>Required</t>
        </is>
      </c>
      <c r="D2" s="25" t="inlineStr">
        <is>
          <t>Define canonical states and valid transitions, including Recording, Local Saved, Pending Upload, Uploading, Uploaded, Processing, Completed, Retryable Failure, Final Failure, Interrupted, and Cancelled.</t>
        </is>
      </c>
      <c r="E2" s="25" t="inlineStr">
        <is>
          <t>SATE-E2E-001, SATE-E2E-002, SATE-E2E-005, SATE-BE-001, SATE-BE-009, SATE-WEB-002</t>
        </is>
      </c>
      <c r="F2" s="9" t="n">
        <v>6</v>
      </c>
      <c r="G2" s="9" t="n">
        <v>5</v>
      </c>
      <c r="H2" s="9">
        <f>SUMPRODUCT(--ISNUMBER(SEARCH($A2,'Test Cases'!$K$2:$K$89)),--('Test Cases'!$X$2:$X$89="Pass"))</f>
        <v/>
      </c>
      <c r="I2" s="9">
        <f>SUMPRODUCT(--ISNUMBER(SEARCH($A2,'Test Cases'!$K$2:$K$89)),--('Test Cases'!$X$2:$X$89="Fail"))</f>
        <v/>
      </c>
      <c r="J2" s="9">
        <f>SUMPRODUCT(--ISNUMBER(SEARCH($A2,'Test Cases'!$K$2:$K$89)),--('Test Cases'!$X$2:$X$89="Blocked"))</f>
        <v/>
      </c>
      <c r="K2" s="9">
        <f>SUMPRODUCT(--ISNUMBER(SEARCH($A2,'Test Cases'!$K$2:$K$89)),--('Test Cases'!$X$2:$X$89="Not Run"))</f>
        <v/>
      </c>
      <c r="L2" s="24">
        <f>IF($F2=0,"UNCOVERED",IF($H2=$F2,"Complete",IF($I2&gt;0,"Failing",IF($H2+$I2+$J2=0,"Not started","In progress"))))</f>
        <v/>
      </c>
    </row>
    <row r="3" ht="46" customHeight="1">
      <c r="A3" s="23" t="inlineStr">
        <is>
          <t>RQ-02</t>
        </is>
      </c>
      <c r="B3" s="25" t="inlineStr">
        <is>
          <t>Single source of truth</t>
        </is>
      </c>
      <c r="C3" s="24" t="inlineStr">
        <is>
          <t>Required</t>
        </is>
      </c>
      <c r="D3" s="25" t="inlineStr">
        <is>
          <t>Define which component owns canonical session status and how stale/out-of-order updates are rejected.</t>
        </is>
      </c>
      <c r="E3" s="25" t="inlineStr">
        <is>
          <t>SATE-E2E-001, SATE-E2E-005, SATE-BE-001, SATE-BE-009, SATE-BE-011</t>
        </is>
      </c>
      <c r="F3" s="9" t="n">
        <v>5</v>
      </c>
      <c r="G3" s="9" t="n">
        <v>5</v>
      </c>
      <c r="H3" s="9">
        <f>SUMPRODUCT(--ISNUMBER(SEARCH($A3,'Test Cases'!$K$2:$K$89)),--('Test Cases'!$X$2:$X$89="Pass"))</f>
        <v/>
      </c>
      <c r="I3" s="9">
        <f>SUMPRODUCT(--ISNUMBER(SEARCH($A3,'Test Cases'!$K$2:$K$89)),--('Test Cases'!$X$2:$X$89="Fail"))</f>
        <v/>
      </c>
      <c r="J3" s="9">
        <f>SUMPRODUCT(--ISNUMBER(SEARCH($A3,'Test Cases'!$K$2:$K$89)),--('Test Cases'!$X$2:$X$89="Blocked"))</f>
        <v/>
      </c>
      <c r="K3" s="9">
        <f>SUMPRODUCT(--ISNUMBER(SEARCH($A3,'Test Cases'!$K$2:$K$89)),--('Test Cases'!$X$2:$X$89="Not Run"))</f>
        <v/>
      </c>
      <c r="L3" s="24">
        <f>IF($F3=0,"UNCOVERED",IF($H3=$F3,"Complete",IF($I3&gt;0,"Failing",IF($H3+$I3+$J3=0,"Not started","In progress"))))</f>
        <v/>
      </c>
    </row>
    <row r="4" ht="46" customHeight="1">
      <c r="A4" s="23" t="inlineStr">
        <is>
          <t>RQ-03</t>
        </is>
      </c>
      <c r="B4" s="25" t="inlineStr">
        <is>
          <t>Unique identity and idempotency</t>
        </is>
      </c>
      <c r="C4" s="24" t="inlineStr">
        <is>
          <t>Required</t>
        </is>
      </c>
      <c r="D4" s="25" t="inlineStr">
        <is>
          <t>Every source recording must have a stable unique ID/idempotency key across recorder, mobile app, storage, database, processing, Web App, and report.</t>
        </is>
      </c>
      <c r="E4" s="25" t="inlineStr">
        <is>
          <t>SATE-E2E-001, SATE-E2E-006, SATE-REC-001, SATE-REC-006, SATE-REC-007, SATE-NET-004, SATE-NET-010, SATE-QUE-001, SATE-QUE-002, SATE-QUE-006, SATE-BE-008, SATE-BE-011</t>
        </is>
      </c>
      <c r="F4" s="9" t="n">
        <v>12</v>
      </c>
      <c r="G4" s="9" t="n">
        <v>12</v>
      </c>
      <c r="H4" s="9">
        <f>SUMPRODUCT(--ISNUMBER(SEARCH($A4,'Test Cases'!$K$2:$K$89)),--('Test Cases'!$X$2:$X$89="Pass"))</f>
        <v/>
      </c>
      <c r="I4" s="9">
        <f>SUMPRODUCT(--ISNUMBER(SEARCH($A4,'Test Cases'!$K$2:$K$89)),--('Test Cases'!$X$2:$X$89="Fail"))</f>
        <v/>
      </c>
      <c r="J4" s="9">
        <f>SUMPRODUCT(--ISNUMBER(SEARCH($A4,'Test Cases'!$K$2:$K$89)),--('Test Cases'!$X$2:$X$89="Blocked"))</f>
        <v/>
      </c>
      <c r="K4" s="9">
        <f>SUMPRODUCT(--ISNUMBER(SEARCH($A4,'Test Cases'!$K$2:$K$89)),--('Test Cases'!$X$2:$X$89="Not Run"))</f>
        <v/>
      </c>
      <c r="L4" s="24">
        <f>IF($F4=0,"UNCOVERED",IF($H4=$F4,"Complete",IF($I4&gt;0,"Failing",IF($H4+$I4+$J4=0,"Not started","In progress"))))</f>
        <v/>
      </c>
    </row>
    <row r="5" ht="46" customHeight="1">
      <c r="A5" s="23" t="inlineStr">
        <is>
          <t>RQ-04</t>
        </is>
      </c>
      <c r="B5" s="25" t="inlineStr">
        <is>
          <t>Local persistence and audio storage</t>
        </is>
      </c>
      <c r="C5" s="24" t="inlineStr">
        <is>
          <t>Required</t>
        </is>
      </c>
      <c r="D5" s="25" t="inlineStr">
        <is>
          <t>Define local file persistence, server object-storage location, temporary-file behavior, acknowledgement, cleanup, and corruption detection.</t>
        </is>
      </c>
      <c r="E5" s="25" t="inlineStr">
        <is>
          <t>SATE-E2E-001, SATE-REC-001, SATE-REC-002, SATE-REC-004, SATE-REC-005, SATE-REC-006, SATE-NET-001, SATE-NET-002, SATE-QUE-003, SATE-BLE-007, SATE-APP-002, SATE-APP-008, SATE-BE-011, SATE-WEB-004</t>
        </is>
      </c>
      <c r="F5" s="9" t="n">
        <v>14</v>
      </c>
      <c r="G5" s="9" t="n">
        <v>13</v>
      </c>
      <c r="H5" s="9">
        <f>SUMPRODUCT(--ISNUMBER(SEARCH($A5,'Test Cases'!$K$2:$K$89)),--('Test Cases'!$X$2:$X$89="Pass"))</f>
        <v/>
      </c>
      <c r="I5" s="9">
        <f>SUMPRODUCT(--ISNUMBER(SEARCH($A5,'Test Cases'!$K$2:$K$89)),--('Test Cases'!$X$2:$X$89="Fail"))</f>
        <v/>
      </c>
      <c r="J5" s="9">
        <f>SUMPRODUCT(--ISNUMBER(SEARCH($A5,'Test Cases'!$K$2:$K$89)),--('Test Cases'!$X$2:$X$89="Blocked"))</f>
        <v/>
      </c>
      <c r="K5" s="9">
        <f>SUMPRODUCT(--ISNUMBER(SEARCH($A5,'Test Cases'!$K$2:$K$89)),--('Test Cases'!$X$2:$X$89="Not Run"))</f>
        <v/>
      </c>
      <c r="L5" s="24">
        <f>IF($F5=0,"UNCOVERED",IF($H5=$F5,"Complete",IF($I5&gt;0,"Failing",IF($H5+$I5+$J5=0,"Not started","In progress"))))</f>
        <v/>
      </c>
    </row>
    <row r="6" ht="46" customHeight="1">
      <c r="A6" s="23" t="inlineStr">
        <is>
          <t>RQ-05</t>
        </is>
      </c>
      <c r="B6" s="25" t="inlineStr">
        <is>
          <t>Audio integrity tolerance</t>
        </is>
      </c>
      <c r="C6" s="24" t="inlineStr">
        <is>
          <t>Needs confirmation</t>
        </is>
      </c>
      <c r="D6" s="25" t="inlineStr">
        <is>
          <t>Define checksum method and acceptable duration difference. Proposed starting criterion: server audio duration differs from local audio by no more than the larger of 2 seconds or 2%, unless codec behavior requires another validated tolerance.</t>
        </is>
      </c>
      <c r="E6" s="25" t="inlineStr">
        <is>
          <t>— no test case references this —</t>
        </is>
      </c>
      <c r="F6" s="9" t="n">
        <v>0</v>
      </c>
      <c r="G6" s="9" t="n">
        <v>0</v>
      </c>
      <c r="H6" s="9">
        <f>SUMPRODUCT(--ISNUMBER(SEARCH($A6,'Test Cases'!$K$2:$K$89)),--('Test Cases'!$X$2:$X$89="Pass"))</f>
        <v/>
      </c>
      <c r="I6" s="9">
        <f>SUMPRODUCT(--ISNUMBER(SEARCH($A6,'Test Cases'!$K$2:$K$89)),--('Test Cases'!$X$2:$X$89="Fail"))</f>
        <v/>
      </c>
      <c r="J6" s="9">
        <f>SUMPRODUCT(--ISNUMBER(SEARCH($A6,'Test Cases'!$K$2:$K$89)),--('Test Cases'!$X$2:$X$89="Blocked"))</f>
        <v/>
      </c>
      <c r="K6" s="9">
        <f>SUMPRODUCT(--ISNUMBER(SEARCH($A6,'Test Cases'!$K$2:$K$89)),--('Test Cases'!$X$2:$X$89="Not Run"))</f>
        <v/>
      </c>
      <c r="L6" s="24">
        <f>IF($F6=0,"UNCOVERED",IF($H6=$F6,"Complete",IF($I6&gt;0,"Failing",IF($H6+$I6+$J6=0,"Not started","In progress"))))</f>
        <v/>
      </c>
    </row>
    <row r="7" ht="46" customHeight="1">
      <c r="A7" s="23" t="inlineStr">
        <is>
          <t>RQ-06</t>
        </is>
      </c>
      <c r="B7" s="25" t="inlineStr">
        <is>
          <t>Interrupted recording policy</t>
        </is>
      </c>
      <c r="C7" s="24" t="inlineStr">
        <is>
          <t>Needs confirmation</t>
        </is>
      </c>
      <c r="D7" s="25" t="inlineStr">
        <is>
          <t>Recommended behavior: preserve valid captured audio as an Interrupted session and never silently discard or mark it Completed.</t>
        </is>
      </c>
      <c r="E7" s="25" t="inlineStr">
        <is>
          <t>SATE-REC-001, SATE-REC-002, SATE-REC-003, SATE-REC-005, SATE-REC-006, SATE-BLE-007, SATE-BLE-008, SATE-APP-002</t>
        </is>
      </c>
      <c r="F7" s="9" t="n">
        <v>8</v>
      </c>
      <c r="G7" s="9" t="n">
        <v>8</v>
      </c>
      <c r="H7" s="9">
        <f>SUMPRODUCT(--ISNUMBER(SEARCH($A7,'Test Cases'!$K$2:$K$89)),--('Test Cases'!$X$2:$X$89="Pass"))</f>
        <v/>
      </c>
      <c r="I7" s="9">
        <f>SUMPRODUCT(--ISNUMBER(SEARCH($A7,'Test Cases'!$K$2:$K$89)),--('Test Cases'!$X$2:$X$89="Fail"))</f>
        <v/>
      </c>
      <c r="J7" s="9">
        <f>SUMPRODUCT(--ISNUMBER(SEARCH($A7,'Test Cases'!$K$2:$K$89)),--('Test Cases'!$X$2:$X$89="Blocked"))</f>
        <v/>
      </c>
      <c r="K7" s="9">
        <f>SUMPRODUCT(--ISNUMBER(SEARCH($A7,'Test Cases'!$K$2:$K$89)),--('Test Cases'!$X$2:$X$89="Not Run"))</f>
        <v/>
      </c>
      <c r="L7" s="24">
        <f>IF($F7=0,"UNCOVERED",IF($H7=$F7,"Complete",IF($I7&gt;0,"Failing",IF($H7+$I7+$J7=0,"Not started","In progress"))))</f>
        <v/>
      </c>
    </row>
    <row r="8" ht="46" customHeight="1">
      <c r="A8" s="23" t="inlineStr">
        <is>
          <t>RQ-07</t>
        </is>
      </c>
      <c r="B8" s="25" t="inlineStr">
        <is>
          <t>Minimum and maximum duration</t>
        </is>
      </c>
      <c r="C8" s="24" t="inlineStr">
        <is>
          <t>Needs confirmation</t>
        </is>
      </c>
      <c r="D8" s="25" t="inlineStr">
        <is>
          <t>Define minimum accepted recording length, maximum supported duration, warning timing, and behavior at/over the limit.</t>
        </is>
      </c>
      <c r="E8" s="25" t="inlineStr">
        <is>
          <t>SATE-E2E-002, SATE-REC-004, SATE-LONG-001, SATE-LONG-002, SATE-LONG-003</t>
        </is>
      </c>
      <c r="F8" s="9" t="n">
        <v>5</v>
      </c>
      <c r="G8" s="9" t="n">
        <v>4</v>
      </c>
      <c r="H8" s="9">
        <f>SUMPRODUCT(--ISNUMBER(SEARCH($A8,'Test Cases'!$K$2:$K$89)),--('Test Cases'!$X$2:$X$89="Pass"))</f>
        <v/>
      </c>
      <c r="I8" s="9">
        <f>SUMPRODUCT(--ISNUMBER(SEARCH($A8,'Test Cases'!$K$2:$K$89)),--('Test Cases'!$X$2:$X$89="Fail"))</f>
        <v/>
      </c>
      <c r="J8" s="9">
        <f>SUMPRODUCT(--ISNUMBER(SEARCH($A8,'Test Cases'!$K$2:$K$89)),--('Test Cases'!$X$2:$X$89="Blocked"))</f>
        <v/>
      </c>
      <c r="K8" s="9">
        <f>SUMPRODUCT(--ISNUMBER(SEARCH($A8,'Test Cases'!$K$2:$K$89)),--('Test Cases'!$X$2:$X$89="Not Run"))</f>
        <v/>
      </c>
      <c r="L8" s="24">
        <f>IF($F8=0,"UNCOVERED",IF($H8=$F8,"Complete",IF($I8&gt;0,"Failing",IF($H8+$I8+$J8=0,"Not started","In progress"))))</f>
        <v/>
      </c>
    </row>
    <row r="9" ht="46" customHeight="1">
      <c r="A9" s="23" t="inlineStr">
        <is>
          <t>RQ-08</t>
        </is>
      </c>
      <c r="B9" s="25" t="inlineStr">
        <is>
          <t>Upload queue behavior</t>
        </is>
      </c>
      <c r="C9" s="24" t="inlineStr">
        <is>
          <t>Required</t>
        </is>
      </c>
      <c r="D9" s="25" t="inlineStr">
        <is>
          <t>Define persistence, ordering, per-item fault isolation, maximum queue size, and when local data may be removed.</t>
        </is>
      </c>
      <c r="E9" s="25" t="inlineStr">
        <is>
          <t>SATE-REC-007, SATE-NET-001, SATE-NET-003, SATE-QUE-001, SATE-QUE-002, SATE-QUE-003, SATE-QUE-004, SATE-QUE-005, SATE-APP-003, SATE-APP-004</t>
        </is>
      </c>
      <c r="F9" s="9" t="n">
        <v>10</v>
      </c>
      <c r="G9" s="9" t="n">
        <v>10</v>
      </c>
      <c r="H9" s="9">
        <f>SUMPRODUCT(--ISNUMBER(SEARCH($A9,'Test Cases'!$K$2:$K$89)),--('Test Cases'!$X$2:$X$89="Pass"))</f>
        <v/>
      </c>
      <c r="I9" s="9">
        <f>SUMPRODUCT(--ISNUMBER(SEARCH($A9,'Test Cases'!$K$2:$K$89)),--('Test Cases'!$X$2:$X$89="Fail"))</f>
        <v/>
      </c>
      <c r="J9" s="9">
        <f>SUMPRODUCT(--ISNUMBER(SEARCH($A9,'Test Cases'!$K$2:$K$89)),--('Test Cases'!$X$2:$X$89="Blocked"))</f>
        <v/>
      </c>
      <c r="K9" s="9">
        <f>SUMPRODUCT(--ISNUMBER(SEARCH($A9,'Test Cases'!$K$2:$K$89)),--('Test Cases'!$X$2:$X$89="Not Run"))</f>
        <v/>
      </c>
      <c r="L9" s="24">
        <f>IF($F9=0,"UNCOVERED",IF($H9=$F9,"Complete",IF($I9&gt;0,"Failing",IF($H9+$I9+$J9=0,"Not started","In progress"))))</f>
        <v/>
      </c>
    </row>
    <row r="10" ht="46" customHeight="1">
      <c r="A10" s="23" t="inlineStr">
        <is>
          <t>RQ-09</t>
        </is>
      </c>
      <c r="B10" s="25" t="inlineStr">
        <is>
          <t>Upload resume strategy</t>
        </is>
      </c>
      <c r="C10" s="24" t="inlineStr">
        <is>
          <t>Needs confirmation</t>
        </is>
      </c>
      <c r="D10" s="25" t="inlineStr">
        <is>
          <t>Define resumable/chunked upload versus full restart, incomplete-object cleanup, backoff, and concurrent retry prevention.</t>
        </is>
      </c>
      <c r="E10" s="25" t="inlineStr">
        <is>
          <t>SATE-NET-004, SATE-NET-008, SATE-NET-009, SATE-NET-010, SATE-LONG-004, SATE-APP-003</t>
        </is>
      </c>
      <c r="F10" s="9" t="n">
        <v>6</v>
      </c>
      <c r="G10" s="9" t="n">
        <v>4</v>
      </c>
      <c r="H10" s="9">
        <f>SUMPRODUCT(--ISNUMBER(SEARCH($A10,'Test Cases'!$K$2:$K$89)),--('Test Cases'!$X$2:$X$89="Pass"))</f>
        <v/>
      </c>
      <c r="I10" s="9">
        <f>SUMPRODUCT(--ISNUMBER(SEARCH($A10,'Test Cases'!$K$2:$K$89)),--('Test Cases'!$X$2:$X$89="Fail"))</f>
        <v/>
      </c>
      <c r="J10" s="9">
        <f>SUMPRODUCT(--ISNUMBER(SEARCH($A10,'Test Cases'!$K$2:$K$89)),--('Test Cases'!$X$2:$X$89="Blocked"))</f>
        <v/>
      </c>
      <c r="K10" s="9">
        <f>SUMPRODUCT(--ISNUMBER(SEARCH($A10,'Test Cases'!$K$2:$K$89)),--('Test Cases'!$X$2:$X$89="Not Run"))</f>
        <v/>
      </c>
      <c r="L10" s="24">
        <f>IF($F10=0,"UNCOVERED",IF($H10=$F10,"Complete",IF($I10&gt;0,"Failing",IF($H10+$I10+$J10=0,"Not started","In progress"))))</f>
        <v/>
      </c>
    </row>
    <row r="11" ht="46" customHeight="1">
      <c r="A11" s="23" t="inlineStr">
        <is>
          <t>RQ-10</t>
        </is>
      </c>
      <c r="B11" s="25" t="inlineStr">
        <is>
          <t>Offline/background behavior</t>
        </is>
      </c>
      <c r="C11" s="24" t="inlineStr">
        <is>
          <t>Required</t>
        </is>
      </c>
      <c r="D11" s="25" t="inlineStr">
        <is>
          <t>Define what auto-uploads in foreground/background/locked states and what requires reopening the app.</t>
        </is>
      </c>
      <c r="E11" s="25" t="inlineStr">
        <is>
          <t>SATE-REC-007, SATE-NET-001, SATE-NET-002, SATE-NET-003, SATE-NET-004, SATE-NET-005, SATE-NET-006, SATE-NET-007, SATE-NET-008, SATE-NET-009, SATE-QUE-002, SATE-QUE-003, SATE-QUE-005, SATE-LONG-004, SATE-LONG-005, SATE-APP-001, SATE-APP-003, SATE-APP-004, SATE-APP-005</t>
        </is>
      </c>
      <c r="F11" s="9" t="n">
        <v>19</v>
      </c>
      <c r="G11" s="9" t="n">
        <v>15</v>
      </c>
      <c r="H11" s="9">
        <f>SUMPRODUCT(--ISNUMBER(SEARCH($A11,'Test Cases'!$K$2:$K$89)),--('Test Cases'!$X$2:$X$89="Pass"))</f>
        <v/>
      </c>
      <c r="I11" s="9">
        <f>SUMPRODUCT(--ISNUMBER(SEARCH($A11,'Test Cases'!$K$2:$K$89)),--('Test Cases'!$X$2:$X$89="Fail"))</f>
        <v/>
      </c>
      <c r="J11" s="9">
        <f>SUMPRODUCT(--ISNUMBER(SEARCH($A11,'Test Cases'!$K$2:$K$89)),--('Test Cases'!$X$2:$X$89="Blocked"))</f>
        <v/>
      </c>
      <c r="K11" s="9">
        <f>SUMPRODUCT(--ISNUMBER(SEARCH($A11,'Test Cases'!$K$2:$K$89)),--('Test Cases'!$X$2:$X$89="Not Run"))</f>
        <v/>
      </c>
      <c r="L11" s="24">
        <f>IF($F11=0,"UNCOVERED",IF($H11=$F11,"Complete",IF($I11&gt;0,"Failing",IF($H11+$I11+$J11=0,"Not started","In progress"))))</f>
        <v/>
      </c>
    </row>
    <row r="12" ht="46" customHeight="1">
      <c r="A12" s="23" t="inlineStr">
        <is>
          <t>RQ-11</t>
        </is>
      </c>
      <c r="B12" s="25" t="inlineStr">
        <is>
          <t>5xx/timeout retry policy</t>
        </is>
      </c>
      <c r="C12" s="24" t="inlineStr">
        <is>
          <t>Partially defined</t>
        </is>
      </c>
      <c r="D12" s="25" t="inlineStr">
        <is>
          <t>Architecture states a maximum of three attempts for 5xx. Confirm attempt counting, timeout classification, backoff, jitter, and late-response handling.</t>
        </is>
      </c>
      <c r="E12" s="25" t="inlineStr">
        <is>
          <t>SATE-QUE-004, SATE-BE-002, SATE-BE-003, SATE-BE-005, SATE-BE-010</t>
        </is>
      </c>
      <c r="F12" s="9" t="n">
        <v>5</v>
      </c>
      <c r="G12" s="9" t="n">
        <v>5</v>
      </c>
      <c r="H12" s="9">
        <f>SUMPRODUCT(--ISNUMBER(SEARCH($A12,'Test Cases'!$K$2:$K$89)),--('Test Cases'!$X$2:$X$89="Pass"))</f>
        <v/>
      </c>
      <c r="I12" s="9">
        <f>SUMPRODUCT(--ISNUMBER(SEARCH($A12,'Test Cases'!$K$2:$K$89)),--('Test Cases'!$X$2:$X$89="Fail"))</f>
        <v/>
      </c>
      <c r="J12" s="9">
        <f>SUMPRODUCT(--ISNUMBER(SEARCH($A12,'Test Cases'!$K$2:$K$89)),--('Test Cases'!$X$2:$X$89="Blocked"))</f>
        <v/>
      </c>
      <c r="K12" s="9">
        <f>SUMPRODUCT(--ISNUMBER(SEARCH($A12,'Test Cases'!$K$2:$K$89)),--('Test Cases'!$X$2:$X$89="Not Run"))</f>
        <v/>
      </c>
      <c r="L12" s="24">
        <f>IF($F12=0,"UNCOVERED",IF($H12=$F12,"Complete",IF($I12&gt;0,"Failing",IF($H12+$I12+$J12=0,"Not started","In progress"))))</f>
        <v/>
      </c>
    </row>
    <row r="13" ht="46" customHeight="1">
      <c r="A13" s="23" t="inlineStr">
        <is>
          <t>RQ-12</t>
        </is>
      </c>
      <c r="B13" s="25" t="inlineStr">
        <is>
          <t>4xx handling</t>
        </is>
      </c>
      <c r="C13" s="24" t="inlineStr">
        <is>
          <t>Needs confirmation</t>
        </is>
      </c>
      <c r="D13" s="25" t="inlineStr">
        <is>
          <t>Define non-retryable and retryable 4xx classes and user-facing recovery actions.</t>
        </is>
      </c>
      <c r="E13" s="25" t="inlineStr">
        <is>
          <t>SATE-BE-004</t>
        </is>
      </c>
      <c r="F13" s="9" t="n">
        <v>1</v>
      </c>
      <c r="G13" s="9" t="n">
        <v>1</v>
      </c>
      <c r="H13" s="9">
        <f>SUMPRODUCT(--ISNUMBER(SEARCH($A13,'Test Cases'!$K$2:$K$89)),--('Test Cases'!$X$2:$X$89="Pass"))</f>
        <v/>
      </c>
      <c r="I13" s="9">
        <f>SUMPRODUCT(--ISNUMBER(SEARCH($A13,'Test Cases'!$K$2:$K$89)),--('Test Cases'!$X$2:$X$89="Fail"))</f>
        <v/>
      </c>
      <c r="J13" s="9">
        <f>SUMPRODUCT(--ISNUMBER(SEARCH($A13,'Test Cases'!$K$2:$K$89)),--('Test Cases'!$X$2:$X$89="Blocked"))</f>
        <v/>
      </c>
      <c r="K13" s="9">
        <f>SUMPRODUCT(--ISNUMBER(SEARCH($A13,'Test Cases'!$K$2:$K$89)),--('Test Cases'!$X$2:$X$89="Not Run"))</f>
        <v/>
      </c>
      <c r="L13" s="24">
        <f>IF($F13=0,"UNCOVERED",IF($H13=$F13,"Complete",IF($I13&gt;0,"Failing",IF($H13+$I13+$J13=0,"Not started","In progress"))))</f>
        <v/>
      </c>
    </row>
    <row r="14" ht="46" customHeight="1">
      <c r="A14" s="23" t="inlineStr">
        <is>
          <t>RQ-13</t>
        </is>
      </c>
      <c r="B14" s="25" t="inlineStr">
        <is>
          <t>Manual retry/reprocess</t>
        </is>
      </c>
      <c r="C14" s="24" t="inlineStr">
        <is>
          <t>Needs confirmation</t>
        </is>
      </c>
      <c r="D14" s="25" t="inlineStr">
        <is>
          <t>Define who may retry, when retry is available, whether audio is re-uploaded, and how attempts/results are versioned.</t>
        </is>
      </c>
      <c r="E14" s="25" t="inlineStr">
        <is>
          <t>SATE-NET-010, SATE-QUE-004, SATE-BE-003, SATE-BE-004, SATE-BE-010, SATE-BE-012, SATE-WEB-002, SATE-PDF-005</t>
        </is>
      </c>
      <c r="F14" s="9" t="n">
        <v>8</v>
      </c>
      <c r="G14" s="9" t="n">
        <v>7</v>
      </c>
      <c r="H14" s="9">
        <f>SUMPRODUCT(--ISNUMBER(SEARCH($A14,'Test Cases'!$K$2:$K$89)),--('Test Cases'!$X$2:$X$89="Pass"))</f>
        <v/>
      </c>
      <c r="I14" s="9">
        <f>SUMPRODUCT(--ISNUMBER(SEARCH($A14,'Test Cases'!$K$2:$K$89)),--('Test Cases'!$X$2:$X$89="Fail"))</f>
        <v/>
      </c>
      <c r="J14" s="9">
        <f>SUMPRODUCT(--ISNUMBER(SEARCH($A14,'Test Cases'!$K$2:$K$89)),--('Test Cases'!$X$2:$X$89="Blocked"))</f>
        <v/>
      </c>
      <c r="K14" s="9">
        <f>SUMPRODUCT(--ISNUMBER(SEARCH($A14,'Test Cases'!$K$2:$K$89)),--('Test Cases'!$X$2:$X$89="Not Run"))</f>
        <v/>
      </c>
      <c r="L14" s="24">
        <f>IF($F14=0,"UNCOVERED",IF($H14=$F14,"Complete",IF($I14&gt;0,"Failing",IF($H14+$I14+$J14=0,"Not started","In progress"))))</f>
        <v/>
      </c>
    </row>
    <row r="15" ht="46" customHeight="1">
      <c r="A15" s="23" t="inlineStr">
        <is>
          <t>RQ-14</t>
        </is>
      </c>
      <c r="B15" s="25" t="inlineStr">
        <is>
          <t>AI result schema and partial results</t>
        </is>
      </c>
      <c r="C15" s="24" t="inlineStr">
        <is>
          <t>Required</t>
        </is>
      </c>
      <c r="D15" s="25" t="inlineStr">
        <is>
          <t>Define required transcript/annotation fields, schema version, malformed response handling, empty speech result, partial-result state, and confidence handling.</t>
        </is>
      </c>
      <c r="E15" s="25" t="inlineStr">
        <is>
          <t>SATE-E2E-002, SATE-E2E-003, SATE-E2E-004, SATE-BE-006, SATE-BE-007, SATE-BE-008, SATE-WEB-002, SATE-PDF-005</t>
        </is>
      </c>
      <c r="F15" s="9" t="n">
        <v>8</v>
      </c>
      <c r="G15" s="9" t="n">
        <v>4</v>
      </c>
      <c r="H15" s="9">
        <f>SUMPRODUCT(--ISNUMBER(SEARCH($A15,'Test Cases'!$K$2:$K$89)),--('Test Cases'!$X$2:$X$89="Pass"))</f>
        <v/>
      </c>
      <c r="I15" s="9">
        <f>SUMPRODUCT(--ISNUMBER(SEARCH($A15,'Test Cases'!$K$2:$K$89)),--('Test Cases'!$X$2:$X$89="Fail"))</f>
        <v/>
      </c>
      <c r="J15" s="9">
        <f>SUMPRODUCT(--ISNUMBER(SEARCH($A15,'Test Cases'!$K$2:$K$89)),--('Test Cases'!$X$2:$X$89="Blocked"))</f>
        <v/>
      </c>
      <c r="K15" s="9">
        <f>SUMPRODUCT(--ISNUMBER(SEARCH($A15,'Test Cases'!$K$2:$K$89)),--('Test Cases'!$X$2:$X$89="Not Run"))</f>
        <v/>
      </c>
      <c r="L15" s="24">
        <f>IF($F15=0,"UNCOVERED",IF($H15=$F15,"Complete",IF($I15&gt;0,"Failing",IF($H15+$I15+$J15=0,"Not started","In progress"))))</f>
        <v/>
      </c>
    </row>
    <row r="16" ht="46" customHeight="1">
      <c r="A16" s="23" t="inlineStr">
        <is>
          <t>RQ-15</t>
        </is>
      </c>
      <c r="B16" s="25" t="inlineStr">
        <is>
          <t>Transcript editing and versioning</t>
        </is>
      </c>
      <c r="C16" s="24" t="inlineStr">
        <is>
          <t>Needs confirmation</t>
        </is>
      </c>
      <c r="D16" s="25" t="inlineStr">
        <is>
          <t>Define whether Web App is read-only or editable, original AI result retention, conflict handling, audit trail, and current approved version.</t>
        </is>
      </c>
      <c r="E16" s="25" t="inlineStr">
        <is>
          <t>SATE-WEB-001, SATE-WEB-003, SATE-WEB-004, SATE-WEB-005, SATE-WEB-006, SATE-WEB-007, SATE-PDF-004</t>
        </is>
      </c>
      <c r="F16" s="9" t="n">
        <v>7</v>
      </c>
      <c r="G16" s="9" t="n">
        <v>5</v>
      </c>
      <c r="H16" s="9">
        <f>SUMPRODUCT(--ISNUMBER(SEARCH($A16,'Test Cases'!$K$2:$K$89)),--('Test Cases'!$X$2:$X$89="Pass"))</f>
        <v/>
      </c>
      <c r="I16" s="9">
        <f>SUMPRODUCT(--ISNUMBER(SEARCH($A16,'Test Cases'!$K$2:$K$89)),--('Test Cases'!$X$2:$X$89="Fail"))</f>
        <v/>
      </c>
      <c r="J16" s="9">
        <f>SUMPRODUCT(--ISNUMBER(SEARCH($A16,'Test Cases'!$K$2:$K$89)),--('Test Cases'!$X$2:$X$89="Blocked"))</f>
        <v/>
      </c>
      <c r="K16" s="9">
        <f>SUMPRODUCT(--ISNUMBER(SEARCH($A16,'Test Cases'!$K$2:$K$89)),--('Test Cases'!$X$2:$X$89="Not Run"))</f>
        <v/>
      </c>
      <c r="L16" s="24">
        <f>IF($F16=0,"UNCOVERED",IF($H16=$F16,"Complete",IF($I16&gt;0,"Failing",IF($H16+$I16+$J16=0,"Not started","In progress"))))</f>
        <v/>
      </c>
    </row>
    <row r="17" ht="46" customHeight="1">
      <c r="A17" s="23" t="inlineStr">
        <is>
          <t>RQ-16</t>
        </is>
      </c>
      <c r="B17" s="25" t="inlineStr">
        <is>
          <t>PDF source and version</t>
        </is>
      </c>
      <c r="C17" s="24" t="inlineStr">
        <is>
          <t>Required</t>
        </is>
      </c>
      <c r="D17" s="25" t="inlineStr">
        <is>
          <t>Define which transcript/result version is exported, cache invalidation, partial-report rules, naming, metadata, and authorization.</t>
        </is>
      </c>
      <c r="E17" s="25" t="inlineStr">
        <is>
          <t>SATE-E2E-001, SATE-WEB-005, SATE-PDF-001, SATE-PDF-002, SATE-PDF-003, SATE-PDF-004, SATE-PDF-005, SATE-PDF-006</t>
        </is>
      </c>
      <c r="F17" s="9" t="n">
        <v>8</v>
      </c>
      <c r="G17" s="9" t="n">
        <v>5</v>
      </c>
      <c r="H17" s="9">
        <f>SUMPRODUCT(--ISNUMBER(SEARCH($A17,'Test Cases'!$K$2:$K$89)),--('Test Cases'!$X$2:$X$89="Pass"))</f>
        <v/>
      </c>
      <c r="I17" s="9">
        <f>SUMPRODUCT(--ISNUMBER(SEARCH($A17,'Test Cases'!$K$2:$K$89)),--('Test Cases'!$X$2:$X$89="Fail"))</f>
        <v/>
      </c>
      <c r="J17" s="9">
        <f>SUMPRODUCT(--ISNUMBER(SEARCH($A17,'Test Cases'!$K$2:$K$89)),--('Test Cases'!$X$2:$X$89="Blocked"))</f>
        <v/>
      </c>
      <c r="K17" s="9">
        <f>SUMPRODUCT(--ISNUMBER(SEARCH($A17,'Test Cases'!$K$2:$K$89)),--('Test Cases'!$X$2:$X$89="Not Run"))</f>
        <v/>
      </c>
      <c r="L17" s="24">
        <f>IF($F17=0,"UNCOVERED",IF($H17=$F17,"Complete",IF($I17&gt;0,"Failing",IF($H17+$I17+$J17=0,"Not started","In progress"))))</f>
        <v/>
      </c>
    </row>
    <row r="18" ht="46" customHeight="1">
      <c r="A18" s="23" t="inlineStr">
        <is>
          <t>RQ-17</t>
        </is>
      </c>
      <c r="B18" s="25" t="inlineStr">
        <is>
          <t>Roles and data isolation</t>
        </is>
      </c>
      <c r="C18" s="24" t="inlineStr">
        <is>
          <t>Required</t>
        </is>
      </c>
      <c r="D18" s="25" t="inlineStr">
        <is>
          <t>Define roles, allowed actions, row-level security, device assignment, signed URL access, and logout/session expiry behavior.</t>
        </is>
      </c>
      <c r="E18" s="25" t="inlineStr">
        <is>
          <t>SATE-BLE-001, SATE-BLE-003, SATE-APP-005, SATE-APP-006, SATE-APP-007, SATE-WEB-001, SATE-PDF-001, SATE-PDF-006, SATE-SEC-001, SATE-SEC-002, SATE-SEC-003, SATE-SEC-004, SATE-SEC-005, SATE-SEC-006</t>
        </is>
      </c>
      <c r="F18" s="9" t="n">
        <v>14</v>
      </c>
      <c r="G18" s="9" t="n">
        <v>12</v>
      </c>
      <c r="H18" s="9">
        <f>SUMPRODUCT(--ISNUMBER(SEARCH($A18,'Test Cases'!$K$2:$K$89)),--('Test Cases'!$X$2:$X$89="Pass"))</f>
        <v/>
      </c>
      <c r="I18" s="9">
        <f>SUMPRODUCT(--ISNUMBER(SEARCH($A18,'Test Cases'!$K$2:$K$89)),--('Test Cases'!$X$2:$X$89="Fail"))</f>
        <v/>
      </c>
      <c r="J18" s="9">
        <f>SUMPRODUCT(--ISNUMBER(SEARCH($A18,'Test Cases'!$K$2:$K$89)),--('Test Cases'!$X$2:$X$89="Blocked"))</f>
        <v/>
      </c>
      <c r="K18" s="9">
        <f>SUMPRODUCT(--ISNUMBER(SEARCH($A18,'Test Cases'!$K$2:$K$89)),--('Test Cases'!$X$2:$X$89="Not Run"))</f>
        <v/>
      </c>
      <c r="L18" s="24">
        <f>IF($F18=0,"UNCOVERED",IF($H18=$F18,"Complete",IF($I18&gt;0,"Failing",IF($H18+$I18+$J18=0,"Not started","In progress"))))</f>
        <v/>
      </c>
    </row>
    <row r="19" ht="46" customHeight="1">
      <c r="A19" s="23" t="inlineStr">
        <is>
          <t>RQ-18</t>
        </is>
      </c>
      <c r="B19" s="25" t="inlineStr">
        <is>
          <t>Deletion and retention</t>
        </is>
      </c>
      <c r="C19" s="24" t="inlineStr">
        <is>
          <t>Required</t>
        </is>
      </c>
      <c r="D19" s="25" t="inlineStr">
        <is>
          <t>Define deletion, recoverable period, backups, audio/transcript/report retention, audit retention, and log redaction.</t>
        </is>
      </c>
      <c r="E19" s="25" t="inlineStr">
        <is>
          <t>SATE-SEC-007</t>
        </is>
      </c>
      <c r="F19" s="9" t="n">
        <v>1</v>
      </c>
      <c r="G19" s="9" t="n">
        <v>1</v>
      </c>
      <c r="H19" s="9">
        <f>SUMPRODUCT(--ISNUMBER(SEARCH($A19,'Test Cases'!$K$2:$K$89)),--('Test Cases'!$X$2:$X$89="Pass"))</f>
        <v/>
      </c>
      <c r="I19" s="9">
        <f>SUMPRODUCT(--ISNUMBER(SEARCH($A19,'Test Cases'!$K$2:$K$89)),--('Test Cases'!$X$2:$X$89="Fail"))</f>
        <v/>
      </c>
      <c r="J19" s="9">
        <f>SUMPRODUCT(--ISNUMBER(SEARCH($A19,'Test Cases'!$K$2:$K$89)),--('Test Cases'!$X$2:$X$89="Blocked"))</f>
        <v/>
      </c>
      <c r="K19" s="9">
        <f>SUMPRODUCT(--ISNUMBER(SEARCH($A19,'Test Cases'!$K$2:$K$89)),--('Test Cases'!$X$2:$X$89="Not Run"))</f>
        <v/>
      </c>
      <c r="L19" s="24">
        <f>IF($F19=0,"UNCOVERED",IF($H19=$F19,"Complete",IF($I19&gt;0,"Failing",IF($H19+$I19+$J19=0,"Not started","In progress"))))</f>
        <v/>
      </c>
    </row>
    <row r="20" ht="46" customHeight="1">
      <c r="A20" s="23" t="inlineStr">
        <is>
          <t>RQ-19</t>
        </is>
      </c>
      <c r="B20" s="25" t="inlineStr">
        <is>
          <t>Supported platform matrix</t>
        </is>
      </c>
      <c r="C20" s="24" t="inlineStr">
        <is>
          <t>Required</t>
        </is>
      </c>
      <c r="D20" s="25" t="inlineStr">
        <is>
          <t>Define supported recorder firmware, mobile OS/device versions, browser versions, BLE behavior, and backward-compatibility policy.</t>
        </is>
      </c>
      <c r="E20" s="25" t="inlineStr">
        <is>
          <t>SATE-E2E-005, SATE-NET-005, SATE-NET-007, SATE-LONG-005, SATE-BLE-001, SATE-BLE-002, SATE-BLE-003, SATE-BLE-004, SATE-BLE-005, SATE-BLE-006, SATE-BLE-007, SATE-APP-001, SATE-APP-008, SATE-WEB-007, SATE-PDF-003, SATE-PDF-006, SATE-COMP-001, SATE-COMP-002, SATE-COMP-003, SATE-COMP-004, SATE-COMP-005</t>
        </is>
      </c>
      <c r="F20" s="9" t="n">
        <v>21</v>
      </c>
      <c r="G20" s="9" t="n">
        <v>7</v>
      </c>
      <c r="H20" s="9">
        <f>SUMPRODUCT(--ISNUMBER(SEARCH($A20,'Test Cases'!$K$2:$K$89)),--('Test Cases'!$X$2:$X$89="Pass"))</f>
        <v/>
      </c>
      <c r="I20" s="9">
        <f>SUMPRODUCT(--ISNUMBER(SEARCH($A20,'Test Cases'!$K$2:$K$89)),--('Test Cases'!$X$2:$X$89="Fail"))</f>
        <v/>
      </c>
      <c r="J20" s="9">
        <f>SUMPRODUCT(--ISNUMBER(SEARCH($A20,'Test Cases'!$K$2:$K$89)),--('Test Cases'!$X$2:$X$89="Blocked"))</f>
        <v/>
      </c>
      <c r="K20" s="9">
        <f>SUMPRODUCT(--ISNUMBER(SEARCH($A20,'Test Cases'!$K$2:$K$89)),--('Test Cases'!$X$2:$X$89="Not Run"))</f>
        <v/>
      </c>
      <c r="L20" s="24">
        <f>IF($F20=0,"UNCOVERED",IF($H20=$F20,"Complete",IF($I20&gt;0,"Failing",IF($H20+$I20+$J20=0,"Not started","In progress"))))</f>
        <v/>
      </c>
    </row>
    <row r="21" ht="46" customHeight="1">
      <c r="A21" s="23" t="inlineStr">
        <is>
          <t>RQ-20</t>
        </is>
      </c>
      <c r="B21" s="25" t="inlineStr">
        <is>
          <t>Performance and reliability SLA</t>
        </is>
      </c>
      <c r="C21" s="24" t="inlineStr">
        <is>
          <t>Needs confirmation</t>
        </is>
      </c>
      <c r="D21" s="25" t="inlineStr">
        <is>
          <t>Define acceptable recording stability, upload time, processing time, PDF time, resource use, retry limits, and maximum stuck-state duration.</t>
        </is>
      </c>
      <c r="E21" s="25" t="inlineStr">
        <is>
          <t>SATE-E2E-001, SATE-E2E-003, SATE-E2E-004, SATE-REC-003, SATE-NET-009, SATE-LONG-001, SATE-LONG-002, SATE-LONG-003, SATE-LONG-004, SATE-LONG-006, SATE-BLE-008, SATE-BE-001, SATE-BE-005, SATE-BE-010, SATE-WEB-007, SATE-PDF-002, SATE-COMP-005</t>
        </is>
      </c>
      <c r="F21" s="9" t="n">
        <v>17</v>
      </c>
      <c r="G21" s="9" t="n">
        <v>11</v>
      </c>
      <c r="H21" s="9">
        <f>SUMPRODUCT(--ISNUMBER(SEARCH($A21,'Test Cases'!$K$2:$K$89)),--('Test Cases'!$X$2:$X$89="Pass"))</f>
        <v/>
      </c>
      <c r="I21" s="9">
        <f>SUMPRODUCT(--ISNUMBER(SEARCH($A21,'Test Cases'!$K$2:$K$89)),--('Test Cases'!$X$2:$X$89="Fail"))</f>
        <v/>
      </c>
      <c r="J21" s="9">
        <f>SUMPRODUCT(--ISNUMBER(SEARCH($A21,'Test Cases'!$K$2:$K$89)),--('Test Cases'!$X$2:$X$89="Blocked"))</f>
        <v/>
      </c>
      <c r="K21" s="9">
        <f>SUMPRODUCT(--ISNUMBER(SEARCH($A21,'Test Cases'!$K$2:$K$89)),--('Test Cases'!$X$2:$X$89="Not Run"))</f>
        <v/>
      </c>
      <c r="L21" s="24">
        <f>IF($F21=0,"UNCOVERED",IF($H21=$F21,"Complete",IF($I21&gt;0,"Failing",IF($H21+$I21+$J21=0,"Not started","In progress"))))</f>
        <v/>
      </c>
    </row>
    <row r="22" ht="46" customHeight="1">
      <c r="A22" s="23" t="inlineStr">
        <is>
          <t>RQ-21</t>
        </is>
      </c>
      <c r="B22" s="25" t="inlineStr">
        <is>
          <t>Direct Wi-Fi versus mobile path</t>
        </is>
      </c>
      <c r="C22" s="24" t="inlineStr">
        <is>
          <t>Needs confirmation</t>
        </is>
      </c>
      <c r="D22" s="25" t="inlineStr">
        <is>
          <t>Define which recordings use each path, whether both may operate for the same source recording, and the backend deduplication rule.</t>
        </is>
      </c>
      <c r="E22" s="25" t="inlineStr">
        <is>
          <t>SATE-E2E-006, SATE-QUE-006</t>
        </is>
      </c>
      <c r="F22" s="9" t="n">
        <v>2</v>
      </c>
      <c r="G22" s="9" t="n">
        <v>2</v>
      </c>
      <c r="H22" s="9">
        <f>SUMPRODUCT(--ISNUMBER(SEARCH($A22,'Test Cases'!$K$2:$K$89)),--('Test Cases'!$X$2:$X$89="Pass"))</f>
        <v/>
      </c>
      <c r="I22" s="9">
        <f>SUMPRODUCT(--ISNUMBER(SEARCH($A22,'Test Cases'!$K$2:$K$89)),--('Test Cases'!$X$2:$X$89="Fail"))</f>
        <v/>
      </c>
      <c r="J22" s="9">
        <f>SUMPRODUCT(--ISNUMBER(SEARCH($A22,'Test Cases'!$K$2:$K$89)),--('Test Cases'!$X$2:$X$89="Blocked"))</f>
        <v/>
      </c>
      <c r="K22" s="9">
        <f>SUMPRODUCT(--ISNUMBER(SEARCH($A22,'Test Cases'!$K$2:$K$89)),--('Test Cases'!$X$2:$X$89="Not Run"))</f>
        <v/>
      </c>
      <c r="L22" s="24">
        <f>IF($F22=0,"UNCOVERED",IF($H22=$F22,"Complete",IF($I22&gt;0,"Failing",IF($H22+$I22+$J22=0,"Not started","In progress"))))</f>
        <v/>
      </c>
    </row>
    <row r="23" ht="46" customHeight="1">
      <c r="A23" s="23" t="inlineStr">
        <is>
          <t>RQ-22</t>
        </is>
      </c>
      <c r="B23" s="25" t="inlineStr">
        <is>
          <t>Pending data during logout/account switch</t>
        </is>
      </c>
      <c r="C23" s="24" t="inlineStr">
        <is>
          <t>Required</t>
        </is>
      </c>
      <c r="D23" s="25" t="inlineStr">
        <is>
          <t>Define secure ownership, visibility, encryption, upload rights, warnings, and supported app update/reinstall behavior for unsynced sessions.</t>
        </is>
      </c>
      <c r="E23" s="25" t="inlineStr">
        <is>
          <t>SATE-APP-006, SATE-APP-007, SATE-APP-008, SATE-SEC-004</t>
        </is>
      </c>
      <c r="F23" s="9" t="n">
        <v>4</v>
      </c>
      <c r="G23" s="9" t="n">
        <v>3</v>
      </c>
      <c r="H23" s="9">
        <f>SUMPRODUCT(--ISNUMBER(SEARCH($A23,'Test Cases'!$K$2:$K$89)),--('Test Cases'!$X$2:$X$89="Pass"))</f>
        <v/>
      </c>
      <c r="I23" s="9">
        <f>SUMPRODUCT(--ISNUMBER(SEARCH($A23,'Test Cases'!$K$2:$K$89)),--('Test Cases'!$X$2:$X$89="Fail"))</f>
        <v/>
      </c>
      <c r="J23" s="9">
        <f>SUMPRODUCT(--ISNUMBER(SEARCH($A23,'Test Cases'!$K$2:$K$89)),--('Test Cases'!$X$2:$X$89="Blocked"))</f>
        <v/>
      </c>
      <c r="K23" s="9">
        <f>SUMPRODUCT(--ISNUMBER(SEARCH($A23,'Test Cases'!$K$2:$K$89)),--('Test Cases'!$X$2:$X$89="Not Run"))</f>
        <v/>
      </c>
      <c r="L23" s="24">
        <f>IF($F23=0,"UNCOVERED",IF($H23=$F23,"Complete",IF($I23&gt;0,"Failing",IF($H23+$I23+$J23=0,"Not started","In progress"))))</f>
        <v/>
      </c>
    </row>
  </sheetData>
  <autoFilter ref="A1:L23"/>
  <conditionalFormatting sqref="C2:C23">
    <cfRule type="cellIs" priority="1" operator="equal" dxfId="11">
      <formula>"Needs confirmation"</formula>
    </cfRule>
    <cfRule type="cellIs" priority="2" operator="equal" dxfId="6">
      <formula>"Partially defined"</formula>
    </cfRule>
  </conditionalFormatting>
  <conditionalFormatting sqref="L2:L23">
    <cfRule type="cellIs" priority="3" operator="equal" dxfId="0">
      <formula>"UNCOVERED"</formula>
    </cfRule>
    <cfRule type="cellIs" priority="4" operator="equal" dxfId="0">
      <formula>"Failing"</formula>
    </cfRule>
    <cfRule type="cellIs" priority="5" operator="equal" dxfId="1">
      <formula>"Complete"</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2"/>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20" customWidth="1" min="3" max="3"/>
    <col width="15" customWidth="1" min="4" max="4"/>
    <col width="46" customWidth="1" min="5" max="5"/>
    <col width="32" customWidth="1" min="6" max="6"/>
    <col width="9" customWidth="1" min="7" max="7"/>
    <col width="15" customWidth="1" min="8" max="8"/>
  </cols>
  <sheetData>
    <row r="1" ht="30" customHeight="1">
      <c r="A1" s="22" t="inlineStr">
        <is>
          <t>Requirement ID</t>
        </is>
      </c>
      <c r="B1" s="22" t="inlineStr">
        <is>
          <t>Requirement Topic</t>
        </is>
      </c>
      <c r="C1" s="22" t="inlineStr">
        <is>
          <t>Definition Status</t>
        </is>
      </c>
      <c r="D1" s="22" t="inlineStr">
        <is>
          <t>Test Case ID</t>
        </is>
      </c>
      <c r="E1" s="22" t="inlineStr">
        <is>
          <t>Test Case Title</t>
        </is>
      </c>
      <c r="F1" s="22" t="inlineStr">
        <is>
          <t>Category</t>
        </is>
      </c>
      <c r="G1" s="22" t="inlineStr">
        <is>
          <t>Priority</t>
        </is>
      </c>
      <c r="H1" s="22" t="inlineStr">
        <is>
          <t>Test Case Status</t>
        </is>
      </c>
    </row>
    <row r="2">
      <c r="A2" s="23" t="inlineStr">
        <is>
          <t>RQ-01</t>
        </is>
      </c>
      <c r="B2" s="25" t="inlineStr">
        <is>
          <t>Session state model</t>
        </is>
      </c>
      <c r="C2" s="24" t="inlineStr">
        <is>
          <t>Required</t>
        </is>
      </c>
      <c r="D2" s="23" t="inlineStr">
        <is>
          <t>SATE-BE-001</t>
        </is>
      </c>
      <c r="E2" s="25" t="inlineStr">
        <is>
          <t>Standard backend status progression and result persistence</t>
        </is>
      </c>
      <c r="F2" s="25" t="inlineStr">
        <is>
          <t>Backend, Retry, and AI Processing</t>
        </is>
      </c>
      <c r="G2" s="9" t="inlineStr">
        <is>
          <t>P0</t>
        </is>
      </c>
      <c r="H2" s="24">
        <f>IFERROR(VLOOKUP($D2,'Test Cases'!$A:$X,24,FALSE),"")</f>
        <v/>
      </c>
    </row>
    <row r="3">
      <c r="A3" s="23" t="inlineStr">
        <is>
          <t>RQ-01</t>
        </is>
      </c>
      <c r="B3" s="25" t="inlineStr">
        <is>
          <t>Session state model</t>
        </is>
      </c>
      <c r="C3" s="24" t="inlineStr">
        <is>
          <t>Required</t>
        </is>
      </c>
      <c r="D3" s="23" t="inlineStr">
        <is>
          <t>SATE-BE-009</t>
        </is>
      </c>
      <c r="E3" s="25" t="inlineStr">
        <is>
          <t>Out-of-order status updates or late responses</t>
        </is>
      </c>
      <c r="F3" s="25" t="inlineStr">
        <is>
          <t>Backend, Retry, and AI Processing</t>
        </is>
      </c>
      <c r="G3" s="9" t="inlineStr">
        <is>
          <t>P0</t>
        </is>
      </c>
      <c r="H3" s="24">
        <f>IFERROR(VLOOKUP($D3,'Test Cases'!$A:$X,24,FALSE),"")</f>
        <v/>
      </c>
    </row>
    <row r="4">
      <c r="A4" s="23" t="inlineStr">
        <is>
          <t>RQ-01</t>
        </is>
      </c>
      <c r="B4" s="25" t="inlineStr">
        <is>
          <t>Session state model</t>
        </is>
      </c>
      <c r="C4" s="24" t="inlineStr">
        <is>
          <t>Required</t>
        </is>
      </c>
      <c r="D4" s="23" t="inlineStr">
        <is>
          <t>SATE-E2E-001</t>
        </is>
      </c>
      <c r="E4" s="25" t="inlineStr">
        <is>
          <t>Standard online recording, upload, processing, review, and PDF export</t>
        </is>
      </c>
      <c r="F4" s="25" t="inlineStr">
        <is>
          <t>End-to-End Recording and Sync</t>
        </is>
      </c>
      <c r="G4" s="9" t="inlineStr">
        <is>
          <t>P0</t>
        </is>
      </c>
      <c r="H4" s="24">
        <f>IFERROR(VLOOKUP($D4,'Test Cases'!$A:$X,24,FALSE),"")</f>
        <v/>
      </c>
    </row>
    <row r="5">
      <c r="A5" s="23" t="inlineStr">
        <is>
          <t>RQ-01</t>
        </is>
      </c>
      <c r="B5" s="25" t="inlineStr">
        <is>
          <t>Session state model</t>
        </is>
      </c>
      <c r="C5" s="24" t="inlineStr">
        <is>
          <t>Required</t>
        </is>
      </c>
      <c r="D5" s="23" t="inlineStr">
        <is>
          <t>SATE-E2E-002</t>
        </is>
      </c>
      <c r="E5" s="25" t="inlineStr">
        <is>
          <t>Very short recording near the minimum supported duration</t>
        </is>
      </c>
      <c r="F5" s="25" t="inlineStr">
        <is>
          <t>End-to-End Recording and Sync</t>
        </is>
      </c>
      <c r="G5" s="9" t="inlineStr">
        <is>
          <t>P1</t>
        </is>
      </c>
      <c r="H5" s="24">
        <f>IFERROR(VLOOKUP($D5,'Test Cases'!$A:$X,24,FALSE),"")</f>
        <v/>
      </c>
    </row>
    <row r="6">
      <c r="A6" s="23" t="inlineStr">
        <is>
          <t>RQ-01</t>
        </is>
      </c>
      <c r="B6" s="25" t="inlineStr">
        <is>
          <t>Session state model</t>
        </is>
      </c>
      <c r="C6" s="24" t="inlineStr">
        <is>
          <t>Required</t>
        </is>
      </c>
      <c r="D6" s="23" t="inlineStr">
        <is>
          <t>SATE-E2E-005</t>
        </is>
      </c>
      <c r="E6" s="25" t="inlineStr">
        <is>
          <t>Session metadata, timestamp, time-zone, and device association</t>
        </is>
      </c>
      <c r="F6" s="25" t="inlineStr">
        <is>
          <t>End-to-End Recording and Sync</t>
        </is>
      </c>
      <c r="G6" s="9" t="inlineStr">
        <is>
          <t>P0</t>
        </is>
      </c>
      <c r="H6" s="24">
        <f>IFERROR(VLOOKUP($D6,'Test Cases'!$A:$X,24,FALSE),"")</f>
        <v/>
      </c>
    </row>
    <row r="7">
      <c r="A7" s="23" t="inlineStr">
        <is>
          <t>RQ-01</t>
        </is>
      </c>
      <c r="B7" s="25" t="inlineStr">
        <is>
          <t>Session state model</t>
        </is>
      </c>
      <c r="C7" s="24" t="inlineStr">
        <is>
          <t>Required</t>
        </is>
      </c>
      <c r="D7" s="23" t="inlineStr">
        <is>
          <t>SATE-WEB-002</t>
        </is>
      </c>
      <c r="E7" s="25" t="inlineStr">
        <is>
          <t>Display of Processing, Retryable Failure, and Final Failure states</t>
        </is>
      </c>
      <c r="F7" s="25" t="inlineStr">
        <is>
          <t>Web Transcript Review</t>
        </is>
      </c>
      <c r="G7" s="9" t="inlineStr">
        <is>
          <t>P0</t>
        </is>
      </c>
      <c r="H7" s="24">
        <f>IFERROR(VLOOKUP($D7,'Test Cases'!$A:$X,24,FALSE),"")</f>
        <v/>
      </c>
    </row>
    <row r="8">
      <c r="A8" s="23" t="inlineStr">
        <is>
          <t>RQ-02</t>
        </is>
      </c>
      <c r="B8" s="25" t="inlineStr">
        <is>
          <t>Single source of truth</t>
        </is>
      </c>
      <c r="C8" s="24" t="inlineStr">
        <is>
          <t>Required</t>
        </is>
      </c>
      <c r="D8" s="23" t="inlineStr">
        <is>
          <t>SATE-BE-001</t>
        </is>
      </c>
      <c r="E8" s="25" t="inlineStr">
        <is>
          <t>Standard backend status progression and result persistence</t>
        </is>
      </c>
      <c r="F8" s="25" t="inlineStr">
        <is>
          <t>Backend, Retry, and AI Processing</t>
        </is>
      </c>
      <c r="G8" s="9" t="inlineStr">
        <is>
          <t>P0</t>
        </is>
      </c>
      <c r="H8" s="24">
        <f>IFERROR(VLOOKUP($D8,'Test Cases'!$A:$X,24,FALSE),"")</f>
        <v/>
      </c>
    </row>
    <row r="9">
      <c r="A9" s="23" t="inlineStr">
        <is>
          <t>RQ-02</t>
        </is>
      </c>
      <c r="B9" s="25" t="inlineStr">
        <is>
          <t>Single source of truth</t>
        </is>
      </c>
      <c r="C9" s="24" t="inlineStr">
        <is>
          <t>Required</t>
        </is>
      </c>
      <c r="D9" s="23" t="inlineStr">
        <is>
          <t>SATE-BE-009</t>
        </is>
      </c>
      <c r="E9" s="25" t="inlineStr">
        <is>
          <t>Out-of-order status updates or late responses</t>
        </is>
      </c>
      <c r="F9" s="25" t="inlineStr">
        <is>
          <t>Backend, Retry, and AI Processing</t>
        </is>
      </c>
      <c r="G9" s="9" t="inlineStr">
        <is>
          <t>P0</t>
        </is>
      </c>
      <c r="H9" s="24">
        <f>IFERROR(VLOOKUP($D9,'Test Cases'!$A:$X,24,FALSE),"")</f>
        <v/>
      </c>
    </row>
    <row r="10">
      <c r="A10" s="23" t="inlineStr">
        <is>
          <t>RQ-02</t>
        </is>
      </c>
      <c r="B10" s="25" t="inlineStr">
        <is>
          <t>Single source of truth</t>
        </is>
      </c>
      <c r="C10" s="24" t="inlineStr">
        <is>
          <t>Required</t>
        </is>
      </c>
      <c r="D10" s="23" t="inlineStr">
        <is>
          <t>SATE-BE-011</t>
        </is>
      </c>
      <c r="E10" s="25" t="inlineStr">
        <is>
          <t>Audio upload succeeds but database/session update fails</t>
        </is>
      </c>
      <c r="F10" s="25" t="inlineStr">
        <is>
          <t>Backend, Retry, and AI Processing</t>
        </is>
      </c>
      <c r="G10" s="9" t="inlineStr">
        <is>
          <t>P0</t>
        </is>
      </c>
      <c r="H10" s="24">
        <f>IFERROR(VLOOKUP($D10,'Test Cases'!$A:$X,24,FALSE),"")</f>
        <v/>
      </c>
    </row>
    <row r="11">
      <c r="A11" s="23" t="inlineStr">
        <is>
          <t>RQ-02</t>
        </is>
      </c>
      <c r="B11" s="25" t="inlineStr">
        <is>
          <t>Single source of truth</t>
        </is>
      </c>
      <c r="C11" s="24" t="inlineStr">
        <is>
          <t>Required</t>
        </is>
      </c>
      <c r="D11" s="23" t="inlineStr">
        <is>
          <t>SATE-E2E-001</t>
        </is>
      </c>
      <c r="E11" s="25" t="inlineStr">
        <is>
          <t>Standard online recording, upload, processing, review, and PDF export</t>
        </is>
      </c>
      <c r="F11" s="25" t="inlineStr">
        <is>
          <t>End-to-End Recording and Sync</t>
        </is>
      </c>
      <c r="G11" s="9" t="inlineStr">
        <is>
          <t>P0</t>
        </is>
      </c>
      <c r="H11" s="24">
        <f>IFERROR(VLOOKUP($D11,'Test Cases'!$A:$X,24,FALSE),"")</f>
        <v/>
      </c>
    </row>
    <row r="12">
      <c r="A12" s="23" t="inlineStr">
        <is>
          <t>RQ-02</t>
        </is>
      </c>
      <c r="B12" s="25" t="inlineStr">
        <is>
          <t>Single source of truth</t>
        </is>
      </c>
      <c r="C12" s="24" t="inlineStr">
        <is>
          <t>Required</t>
        </is>
      </c>
      <c r="D12" s="23" t="inlineStr">
        <is>
          <t>SATE-E2E-005</t>
        </is>
      </c>
      <c r="E12" s="25" t="inlineStr">
        <is>
          <t>Session metadata, timestamp, time-zone, and device association</t>
        </is>
      </c>
      <c r="F12" s="25" t="inlineStr">
        <is>
          <t>End-to-End Recording and Sync</t>
        </is>
      </c>
      <c r="G12" s="9" t="inlineStr">
        <is>
          <t>P0</t>
        </is>
      </c>
      <c r="H12" s="24">
        <f>IFERROR(VLOOKUP($D12,'Test Cases'!$A:$X,24,FALSE),"")</f>
        <v/>
      </c>
    </row>
    <row r="13">
      <c r="A13" s="23" t="inlineStr">
        <is>
          <t>RQ-03</t>
        </is>
      </c>
      <c r="B13" s="25" t="inlineStr">
        <is>
          <t>Unique identity and idempotency</t>
        </is>
      </c>
      <c r="C13" s="24" t="inlineStr">
        <is>
          <t>Required</t>
        </is>
      </c>
      <c r="D13" s="23" t="inlineStr">
        <is>
          <t>SATE-BE-008</t>
        </is>
      </c>
      <c r="E13" s="25" t="inlineStr">
        <is>
          <t>Duplicate AI callback or duplicate result submission</t>
        </is>
      </c>
      <c r="F13" s="25" t="inlineStr">
        <is>
          <t>Backend, Retry, and AI Processing</t>
        </is>
      </c>
      <c r="G13" s="9" t="inlineStr">
        <is>
          <t>P0</t>
        </is>
      </c>
      <c r="H13" s="24">
        <f>IFERROR(VLOOKUP($D13,'Test Cases'!$A:$X,24,FALSE),"")</f>
        <v/>
      </c>
    </row>
    <row r="14">
      <c r="A14" s="23" t="inlineStr">
        <is>
          <t>RQ-03</t>
        </is>
      </c>
      <c r="B14" s="25" t="inlineStr">
        <is>
          <t>Unique identity and idempotency</t>
        </is>
      </c>
      <c r="C14" s="24" t="inlineStr">
        <is>
          <t>Required</t>
        </is>
      </c>
      <c r="D14" s="23" t="inlineStr">
        <is>
          <t>SATE-BE-011</t>
        </is>
      </c>
      <c r="E14" s="25" t="inlineStr">
        <is>
          <t>Audio upload succeeds but database/session update fails</t>
        </is>
      </c>
      <c r="F14" s="25" t="inlineStr">
        <is>
          <t>Backend, Retry, and AI Processing</t>
        </is>
      </c>
      <c r="G14" s="9" t="inlineStr">
        <is>
          <t>P0</t>
        </is>
      </c>
      <c r="H14" s="24">
        <f>IFERROR(VLOOKUP($D14,'Test Cases'!$A:$X,24,FALSE),"")</f>
        <v/>
      </c>
    </row>
    <row r="15">
      <c r="A15" s="23" t="inlineStr">
        <is>
          <t>RQ-03</t>
        </is>
      </c>
      <c r="B15" s="25" t="inlineStr">
        <is>
          <t>Unique identity and idempotency</t>
        </is>
      </c>
      <c r="C15" s="24" t="inlineStr">
        <is>
          <t>Required</t>
        </is>
      </c>
      <c r="D15" s="23" t="inlineStr">
        <is>
          <t>SATE-E2E-001</t>
        </is>
      </c>
      <c r="E15" s="25" t="inlineStr">
        <is>
          <t>Standard online recording, upload, processing, review, and PDF export</t>
        </is>
      </c>
      <c r="F15" s="25" t="inlineStr">
        <is>
          <t>End-to-End Recording and Sync</t>
        </is>
      </c>
      <c r="G15" s="9" t="inlineStr">
        <is>
          <t>P0</t>
        </is>
      </c>
      <c r="H15" s="24">
        <f>IFERROR(VLOOKUP($D15,'Test Cases'!$A:$X,24,FALSE),"")</f>
        <v/>
      </c>
    </row>
    <row r="16">
      <c r="A16" s="23" t="inlineStr">
        <is>
          <t>RQ-03</t>
        </is>
      </c>
      <c r="B16" s="25" t="inlineStr">
        <is>
          <t>Unique identity and idempotency</t>
        </is>
      </c>
      <c r="C16" s="24" t="inlineStr">
        <is>
          <t>Required</t>
        </is>
      </c>
      <c r="D16" s="23" t="inlineStr">
        <is>
          <t>SATE-E2E-006</t>
        </is>
      </c>
      <c r="E16" s="25" t="inlineStr">
        <is>
          <t>Repeated Stop, Save, Upload, or Submit actions</t>
        </is>
      </c>
      <c r="F16" s="25" t="inlineStr">
        <is>
          <t>End-to-End Recording and Sync</t>
        </is>
      </c>
      <c r="G16" s="9" t="inlineStr">
        <is>
          <t>P0</t>
        </is>
      </c>
      <c r="H16" s="24">
        <f>IFERROR(VLOOKUP($D16,'Test Cases'!$A:$X,24,FALSE),"")</f>
        <v/>
      </c>
    </row>
    <row r="17">
      <c r="A17" s="23" t="inlineStr">
        <is>
          <t>RQ-03</t>
        </is>
      </c>
      <c r="B17" s="25" t="inlineStr">
        <is>
          <t>Unique identity and idempotency</t>
        </is>
      </c>
      <c r="C17" s="24" t="inlineStr">
        <is>
          <t>Required</t>
        </is>
      </c>
      <c r="D17" s="23" t="inlineStr">
        <is>
          <t>SATE-NET-004</t>
        </is>
      </c>
      <c r="E17" s="25" t="inlineStr">
        <is>
          <t>Internet drops during an active upload</t>
        </is>
      </c>
      <c r="F17" s="25" t="inlineStr">
        <is>
          <t>Network, Offline, and Upload Recovery</t>
        </is>
      </c>
      <c r="G17" s="9" t="inlineStr">
        <is>
          <t>P0</t>
        </is>
      </c>
      <c r="H17" s="24">
        <f>IFERROR(VLOOKUP($D17,'Test Cases'!$A:$X,24,FALSE),"")</f>
        <v/>
      </c>
    </row>
    <row r="18">
      <c r="A18" s="23" t="inlineStr">
        <is>
          <t>RQ-03</t>
        </is>
      </c>
      <c r="B18" s="25" t="inlineStr">
        <is>
          <t>Unique identity and idempotency</t>
        </is>
      </c>
      <c r="C18" s="24" t="inlineStr">
        <is>
          <t>Required</t>
        </is>
      </c>
      <c r="D18" s="23" t="inlineStr">
        <is>
          <t>SATE-NET-010</t>
        </is>
      </c>
      <c r="E18" s="25" t="inlineStr">
        <is>
          <t>User taps manual Retry while automatic retry is already running</t>
        </is>
      </c>
      <c r="F18" s="25" t="inlineStr">
        <is>
          <t>Network, Offline, and Upload Recovery</t>
        </is>
      </c>
      <c r="G18" s="9" t="inlineStr">
        <is>
          <t>P0</t>
        </is>
      </c>
      <c r="H18" s="24">
        <f>IFERROR(VLOOKUP($D18,'Test Cases'!$A:$X,24,FALSE),"")</f>
        <v/>
      </c>
    </row>
    <row r="19">
      <c r="A19" s="23" t="inlineStr">
        <is>
          <t>RQ-03</t>
        </is>
      </c>
      <c r="B19" s="25" t="inlineStr">
        <is>
          <t>Unique identity and idempotency</t>
        </is>
      </c>
      <c r="C19" s="24" t="inlineStr">
        <is>
          <t>Required</t>
        </is>
      </c>
      <c r="D19" s="23" t="inlineStr">
        <is>
          <t>SATE-QUE-001</t>
        </is>
      </c>
      <c r="E19" s="25" t="inlineStr">
        <is>
          <t>Five recordings made consecutively while online</t>
        </is>
      </c>
      <c r="F19" s="25" t="inlineStr">
        <is>
          <t>Queue, Batch, and Concurrency</t>
        </is>
      </c>
      <c r="G19" s="9" t="inlineStr">
        <is>
          <t>P0</t>
        </is>
      </c>
      <c r="H19" s="24">
        <f>IFERROR(VLOOKUP($D19,'Test Cases'!$A:$X,24,FALSE),"")</f>
        <v/>
      </c>
    </row>
    <row r="20">
      <c r="A20" s="23" t="inlineStr">
        <is>
          <t>RQ-03</t>
        </is>
      </c>
      <c r="B20" s="25" t="inlineStr">
        <is>
          <t>Unique identity and idempotency</t>
        </is>
      </c>
      <c r="C20" s="24" t="inlineStr">
        <is>
          <t>Required</t>
        </is>
      </c>
      <c r="D20" s="23" t="inlineStr">
        <is>
          <t>SATE-QUE-002</t>
        </is>
      </c>
      <c r="E20" s="25" t="inlineStr">
        <is>
          <t>Start a new recording while the previous session is uploading</t>
        </is>
      </c>
      <c r="F20" s="25" t="inlineStr">
        <is>
          <t>Queue, Batch, and Concurrency</t>
        </is>
      </c>
      <c r="G20" s="9" t="inlineStr">
        <is>
          <t>P0</t>
        </is>
      </c>
      <c r="H20" s="24">
        <f>IFERROR(VLOOKUP($D20,'Test Cases'!$A:$X,24,FALSE),"")</f>
        <v/>
      </c>
    </row>
    <row r="21">
      <c r="A21" s="23" t="inlineStr">
        <is>
          <t>RQ-03</t>
        </is>
      </c>
      <c r="B21" s="25" t="inlineStr">
        <is>
          <t>Unique identity and idempotency</t>
        </is>
      </c>
      <c r="C21" s="24" t="inlineStr">
        <is>
          <t>Required</t>
        </is>
      </c>
      <c r="D21" s="23" t="inlineStr">
        <is>
          <t>SATE-QUE-006</t>
        </is>
      </c>
      <c r="E21" s="25" t="inlineStr">
        <is>
          <t>Same recording reaches backend through direct Wi-Fi and mobile-app paths</t>
        </is>
      </c>
      <c r="F21" s="25" t="inlineStr">
        <is>
          <t>Queue, Batch, and Concurrency</t>
        </is>
      </c>
      <c r="G21" s="9" t="inlineStr">
        <is>
          <t>P0</t>
        </is>
      </c>
      <c r="H21" s="24">
        <f>IFERROR(VLOOKUP($D21,'Test Cases'!$A:$X,24,FALSE),"")</f>
        <v/>
      </c>
    </row>
    <row r="22">
      <c r="A22" s="23" t="inlineStr">
        <is>
          <t>RQ-03</t>
        </is>
      </c>
      <c r="B22" s="25" t="inlineStr">
        <is>
          <t>Unique identity and idempotency</t>
        </is>
      </c>
      <c r="C22" s="24" t="inlineStr">
        <is>
          <t>Required</t>
        </is>
      </c>
      <c r="D22" s="23" t="inlineStr">
        <is>
          <t>SATE-REC-001</t>
        </is>
      </c>
      <c r="E22" s="25" t="inlineStr">
        <is>
          <t>Graceful recorder restart during an active recording</t>
        </is>
      </c>
      <c r="F22" s="25" t="inlineStr">
        <is>
          <t>Recorder Interruption and Local Persistence</t>
        </is>
      </c>
      <c r="G22" s="9" t="inlineStr">
        <is>
          <t>P0</t>
        </is>
      </c>
      <c r="H22" s="24">
        <f>IFERROR(VLOOKUP($D22,'Test Cases'!$A:$X,24,FALSE),"")</f>
        <v/>
      </c>
    </row>
    <row r="23">
      <c r="A23" s="23" t="inlineStr">
        <is>
          <t>RQ-03</t>
        </is>
      </c>
      <c r="B23" s="25" t="inlineStr">
        <is>
          <t>Unique identity and idempotency</t>
        </is>
      </c>
      <c r="C23" s="24" t="inlineStr">
        <is>
          <t>Required</t>
        </is>
      </c>
      <c r="D23" s="23" t="inlineStr">
        <is>
          <t>SATE-REC-006</t>
        </is>
      </c>
      <c r="E23" s="25" t="inlineStr">
        <is>
          <t>Restart during the local save/finalization step</t>
        </is>
      </c>
      <c r="F23" s="25" t="inlineStr">
        <is>
          <t>Recorder Interruption and Local Persistence</t>
        </is>
      </c>
      <c r="G23" s="9" t="inlineStr">
        <is>
          <t>P0</t>
        </is>
      </c>
      <c r="H23" s="24">
        <f>IFERROR(VLOOKUP($D23,'Test Cases'!$A:$X,24,FALSE),"")</f>
        <v/>
      </c>
    </row>
    <row r="24">
      <c r="A24" s="23" t="inlineStr">
        <is>
          <t>RQ-03</t>
        </is>
      </c>
      <c r="B24" s="25" t="inlineStr">
        <is>
          <t>Unique identity and idempotency</t>
        </is>
      </c>
      <c r="C24" s="24" t="inlineStr">
        <is>
          <t>Required</t>
        </is>
      </c>
      <c r="D24" s="23" t="inlineStr">
        <is>
          <t>SATE-REC-007</t>
        </is>
      </c>
      <c r="E24" s="25" t="inlineStr">
        <is>
          <t>Restart after recording stops but before upload begins</t>
        </is>
      </c>
      <c r="F24" s="25" t="inlineStr">
        <is>
          <t>Recorder Interruption and Local Persistence</t>
        </is>
      </c>
      <c r="G24" s="9" t="inlineStr">
        <is>
          <t>P0</t>
        </is>
      </c>
      <c r="H24" s="24">
        <f>IFERROR(VLOOKUP($D24,'Test Cases'!$A:$X,24,FALSE),"")</f>
        <v/>
      </c>
    </row>
    <row r="25">
      <c r="A25" s="23" t="inlineStr">
        <is>
          <t>RQ-04</t>
        </is>
      </c>
      <c r="B25" s="25" t="inlineStr">
        <is>
          <t>Local persistence and audio storage</t>
        </is>
      </c>
      <c r="C25" s="24" t="inlineStr">
        <is>
          <t>Required</t>
        </is>
      </c>
      <c r="D25" s="23" t="inlineStr">
        <is>
          <t>SATE-APP-002</t>
        </is>
      </c>
      <c r="E25" s="25" t="inlineStr">
        <is>
          <t>App is force-closed during recording</t>
        </is>
      </c>
      <c r="F25" s="25" t="inlineStr">
        <is>
          <t>Mobile App Lifecycle and Authentication</t>
        </is>
      </c>
      <c r="G25" s="9" t="inlineStr">
        <is>
          <t>P0</t>
        </is>
      </c>
      <c r="H25" s="24">
        <f>IFERROR(VLOOKUP($D25,'Test Cases'!$A:$X,24,FALSE),"")</f>
        <v/>
      </c>
    </row>
    <row r="26">
      <c r="A26" s="23" t="inlineStr">
        <is>
          <t>RQ-04</t>
        </is>
      </c>
      <c r="B26" s="25" t="inlineStr">
        <is>
          <t>Local persistence and audio storage</t>
        </is>
      </c>
      <c r="C26" s="24" t="inlineStr">
        <is>
          <t>Required</t>
        </is>
      </c>
      <c r="D26" s="23" t="inlineStr">
        <is>
          <t>SATE-APP-008</t>
        </is>
      </c>
      <c r="E26" s="25" t="inlineStr">
        <is>
          <t>App update or reinstall when unsynced sessions exist</t>
        </is>
      </c>
      <c r="F26" s="25" t="inlineStr">
        <is>
          <t>Mobile App Lifecycle and Authentication</t>
        </is>
      </c>
      <c r="G26" s="9" t="inlineStr">
        <is>
          <t>P1</t>
        </is>
      </c>
      <c r="H26" s="24">
        <f>IFERROR(VLOOKUP($D26,'Test Cases'!$A:$X,24,FALSE),"")</f>
        <v/>
      </c>
    </row>
    <row r="27">
      <c r="A27" s="23" t="inlineStr">
        <is>
          <t>RQ-04</t>
        </is>
      </c>
      <c r="B27" s="25" t="inlineStr">
        <is>
          <t>Local persistence and audio storage</t>
        </is>
      </c>
      <c r="C27" s="24" t="inlineStr">
        <is>
          <t>Required</t>
        </is>
      </c>
      <c r="D27" s="23" t="inlineStr">
        <is>
          <t>SATE-BE-011</t>
        </is>
      </c>
      <c r="E27" s="25" t="inlineStr">
        <is>
          <t>Audio upload succeeds but database/session update fails</t>
        </is>
      </c>
      <c r="F27" s="25" t="inlineStr">
        <is>
          <t>Backend, Retry, and AI Processing</t>
        </is>
      </c>
      <c r="G27" s="9" t="inlineStr">
        <is>
          <t>P0</t>
        </is>
      </c>
      <c r="H27" s="24">
        <f>IFERROR(VLOOKUP($D27,'Test Cases'!$A:$X,24,FALSE),"")</f>
        <v/>
      </c>
    </row>
    <row r="28">
      <c r="A28" s="23" t="inlineStr">
        <is>
          <t>RQ-04</t>
        </is>
      </c>
      <c r="B28" s="25" t="inlineStr">
        <is>
          <t>Local persistence and audio storage</t>
        </is>
      </c>
      <c r="C28" s="24" t="inlineStr">
        <is>
          <t>Required</t>
        </is>
      </c>
      <c r="D28" s="23" t="inlineStr">
        <is>
          <t>SATE-BLE-007</t>
        </is>
      </c>
      <c r="E28" s="25" t="inlineStr">
        <is>
          <t>BLE disconnects during recording and later reconnects</t>
        </is>
      </c>
      <c r="F28" s="25" t="inlineStr">
        <is>
          <t>BLE and Device Connectivity</t>
        </is>
      </c>
      <c r="G28" s="9" t="inlineStr">
        <is>
          <t>P0</t>
        </is>
      </c>
      <c r="H28" s="24">
        <f>IFERROR(VLOOKUP($D28,'Test Cases'!$A:$X,24,FALSE),"")</f>
        <v/>
      </c>
    </row>
    <row r="29">
      <c r="A29" s="23" t="inlineStr">
        <is>
          <t>RQ-04</t>
        </is>
      </c>
      <c r="B29" s="25" t="inlineStr">
        <is>
          <t>Local persistence and audio storage</t>
        </is>
      </c>
      <c r="C29" s="24" t="inlineStr">
        <is>
          <t>Required</t>
        </is>
      </c>
      <c r="D29" s="23" t="inlineStr">
        <is>
          <t>SATE-E2E-001</t>
        </is>
      </c>
      <c r="E29" s="25" t="inlineStr">
        <is>
          <t>Standard online recording, upload, processing, review, and PDF export</t>
        </is>
      </c>
      <c r="F29" s="25" t="inlineStr">
        <is>
          <t>End-to-End Recording and Sync</t>
        </is>
      </c>
      <c r="G29" s="9" t="inlineStr">
        <is>
          <t>P0</t>
        </is>
      </c>
      <c r="H29" s="24">
        <f>IFERROR(VLOOKUP($D29,'Test Cases'!$A:$X,24,FALSE),"")</f>
        <v/>
      </c>
    </row>
    <row r="30">
      <c r="A30" s="23" t="inlineStr">
        <is>
          <t>RQ-04</t>
        </is>
      </c>
      <c r="B30" s="25" t="inlineStr">
        <is>
          <t>Local persistence and audio storage</t>
        </is>
      </c>
      <c r="C30" s="24" t="inlineStr">
        <is>
          <t>Required</t>
        </is>
      </c>
      <c r="D30" s="23" t="inlineStr">
        <is>
          <t>SATE-NET-001</t>
        </is>
      </c>
      <c r="E30" s="25" t="inlineStr">
        <is>
          <t>Recording starts and ends while fully offline</t>
        </is>
      </c>
      <c r="F30" s="25" t="inlineStr">
        <is>
          <t>Network, Offline, and Upload Recovery</t>
        </is>
      </c>
      <c r="G30" s="9" t="inlineStr">
        <is>
          <t>P0</t>
        </is>
      </c>
      <c r="H30" s="24">
        <f>IFERROR(VLOOKUP($D30,'Test Cases'!$A:$X,24,FALSE),"")</f>
        <v/>
      </c>
    </row>
    <row r="31">
      <c r="A31" s="23" t="inlineStr">
        <is>
          <t>RQ-04</t>
        </is>
      </c>
      <c r="B31" s="25" t="inlineStr">
        <is>
          <t>Local persistence and audio storage</t>
        </is>
      </c>
      <c r="C31" s="24" t="inlineStr">
        <is>
          <t>Required</t>
        </is>
      </c>
      <c r="D31" s="23" t="inlineStr">
        <is>
          <t>SATE-NET-002</t>
        </is>
      </c>
      <c r="E31" s="25" t="inlineStr">
        <is>
          <t>Internet connection is lost during recording</t>
        </is>
      </c>
      <c r="F31" s="25" t="inlineStr">
        <is>
          <t>Network, Offline, and Upload Recovery</t>
        </is>
      </c>
      <c r="G31" s="9" t="inlineStr">
        <is>
          <t>P0</t>
        </is>
      </c>
      <c r="H31" s="24">
        <f>IFERROR(VLOOKUP($D31,'Test Cases'!$A:$X,24,FALSE),"")</f>
        <v/>
      </c>
    </row>
    <row r="32">
      <c r="A32" s="23" t="inlineStr">
        <is>
          <t>RQ-04</t>
        </is>
      </c>
      <c r="B32" s="25" t="inlineStr">
        <is>
          <t>Local persistence and audio storage</t>
        </is>
      </c>
      <c r="C32" s="24" t="inlineStr">
        <is>
          <t>Required</t>
        </is>
      </c>
      <c r="D32" s="23" t="inlineStr">
        <is>
          <t>SATE-QUE-003</t>
        </is>
      </c>
      <c r="E32" s="25" t="inlineStr">
        <is>
          <t>Five offline recordings queued and uploaded later</t>
        </is>
      </c>
      <c r="F32" s="25" t="inlineStr">
        <is>
          <t>Queue, Batch, and Concurrency</t>
        </is>
      </c>
      <c r="G32" s="9" t="inlineStr">
        <is>
          <t>P0</t>
        </is>
      </c>
      <c r="H32" s="24">
        <f>IFERROR(VLOOKUP($D32,'Test Cases'!$A:$X,24,FALSE),"")</f>
        <v/>
      </c>
    </row>
    <row r="33">
      <c r="A33" s="23" t="inlineStr">
        <is>
          <t>RQ-04</t>
        </is>
      </c>
      <c r="B33" s="25" t="inlineStr">
        <is>
          <t>Local persistence and audio storage</t>
        </is>
      </c>
      <c r="C33" s="24" t="inlineStr">
        <is>
          <t>Required</t>
        </is>
      </c>
      <c r="D33" s="23" t="inlineStr">
        <is>
          <t>SATE-REC-001</t>
        </is>
      </c>
      <c r="E33" s="25" t="inlineStr">
        <is>
          <t>Graceful recorder restart during an active recording</t>
        </is>
      </c>
      <c r="F33" s="25" t="inlineStr">
        <is>
          <t>Recorder Interruption and Local Persistence</t>
        </is>
      </c>
      <c r="G33" s="9" t="inlineStr">
        <is>
          <t>P0</t>
        </is>
      </c>
      <c r="H33" s="24">
        <f>IFERROR(VLOOKUP($D33,'Test Cases'!$A:$X,24,FALSE),"")</f>
        <v/>
      </c>
    </row>
    <row r="34">
      <c r="A34" s="23" t="inlineStr">
        <is>
          <t>RQ-04</t>
        </is>
      </c>
      <c r="B34" s="25" t="inlineStr">
        <is>
          <t>Local persistence and audio storage</t>
        </is>
      </c>
      <c r="C34" s="24" t="inlineStr">
        <is>
          <t>Required</t>
        </is>
      </c>
      <c r="D34" s="23" t="inlineStr">
        <is>
          <t>SATE-REC-002</t>
        </is>
      </c>
      <c r="E34" s="25" t="inlineStr">
        <is>
          <t>Forced power loss during an active recording</t>
        </is>
      </c>
      <c r="F34" s="25" t="inlineStr">
        <is>
          <t>Recorder Interruption and Local Persistence</t>
        </is>
      </c>
      <c r="G34" s="9" t="inlineStr">
        <is>
          <t>P0</t>
        </is>
      </c>
      <c r="H34" s="24">
        <f>IFERROR(VLOOKUP($D34,'Test Cases'!$A:$X,24,FALSE),"")</f>
        <v/>
      </c>
    </row>
    <row r="35">
      <c r="A35" s="23" t="inlineStr">
        <is>
          <t>RQ-04</t>
        </is>
      </c>
      <c r="B35" s="25" t="inlineStr">
        <is>
          <t>Local persistence and audio storage</t>
        </is>
      </c>
      <c r="C35" s="24" t="inlineStr">
        <is>
          <t>Required</t>
        </is>
      </c>
      <c r="D35" s="23" t="inlineStr">
        <is>
          <t>SATE-REC-004</t>
        </is>
      </c>
      <c r="E35" s="25" t="inlineStr">
        <is>
          <t>Insufficient local storage before recording starts</t>
        </is>
      </c>
      <c r="F35" s="25" t="inlineStr">
        <is>
          <t>Recorder Interruption and Local Persistence</t>
        </is>
      </c>
      <c r="G35" s="9" t="inlineStr">
        <is>
          <t>P0</t>
        </is>
      </c>
      <c r="H35" s="24">
        <f>IFERROR(VLOOKUP($D35,'Test Cases'!$A:$X,24,FALSE),"")</f>
        <v/>
      </c>
    </row>
    <row r="36">
      <c r="A36" s="23" t="inlineStr">
        <is>
          <t>RQ-04</t>
        </is>
      </c>
      <c r="B36" s="25" t="inlineStr">
        <is>
          <t>Local persistence and audio storage</t>
        </is>
      </c>
      <c r="C36" s="24" t="inlineStr">
        <is>
          <t>Required</t>
        </is>
      </c>
      <c r="D36" s="23" t="inlineStr">
        <is>
          <t>SATE-REC-005</t>
        </is>
      </c>
      <c r="E36" s="25" t="inlineStr">
        <is>
          <t>Local storage becomes full during recording</t>
        </is>
      </c>
      <c r="F36" s="25" t="inlineStr">
        <is>
          <t>Recorder Interruption and Local Persistence</t>
        </is>
      </c>
      <c r="G36" s="9" t="inlineStr">
        <is>
          <t>P0</t>
        </is>
      </c>
      <c r="H36" s="24">
        <f>IFERROR(VLOOKUP($D36,'Test Cases'!$A:$X,24,FALSE),"")</f>
        <v/>
      </c>
    </row>
    <row r="37">
      <c r="A37" s="23" t="inlineStr">
        <is>
          <t>RQ-04</t>
        </is>
      </c>
      <c r="B37" s="25" t="inlineStr">
        <is>
          <t>Local persistence and audio storage</t>
        </is>
      </c>
      <c r="C37" s="24" t="inlineStr">
        <is>
          <t>Required</t>
        </is>
      </c>
      <c r="D37" s="23" t="inlineStr">
        <is>
          <t>SATE-REC-006</t>
        </is>
      </c>
      <c r="E37" s="25" t="inlineStr">
        <is>
          <t>Restart during the local save/finalization step</t>
        </is>
      </c>
      <c r="F37" s="25" t="inlineStr">
        <is>
          <t>Recorder Interruption and Local Persistence</t>
        </is>
      </c>
      <c r="G37" s="9" t="inlineStr">
        <is>
          <t>P0</t>
        </is>
      </c>
      <c r="H37" s="24">
        <f>IFERROR(VLOOKUP($D37,'Test Cases'!$A:$X,24,FALSE),"")</f>
        <v/>
      </c>
    </row>
    <row r="38">
      <c r="A38" s="23" t="inlineStr">
        <is>
          <t>RQ-04</t>
        </is>
      </c>
      <c r="B38" s="25" t="inlineStr">
        <is>
          <t>Local persistence and audio storage</t>
        </is>
      </c>
      <c r="C38" s="24" t="inlineStr">
        <is>
          <t>Required</t>
        </is>
      </c>
      <c r="D38" s="23" t="inlineStr">
        <is>
          <t>SATE-WEB-004</t>
        </is>
      </c>
      <c r="E38" s="25" t="inlineStr">
        <is>
          <t>Audio playback and transcript association</t>
        </is>
      </c>
      <c r="F38" s="25" t="inlineStr">
        <is>
          <t>Web Transcript Review</t>
        </is>
      </c>
      <c r="G38" s="9" t="inlineStr">
        <is>
          <t>P0</t>
        </is>
      </c>
      <c r="H38" s="24">
        <f>IFERROR(VLOOKUP($D38,'Test Cases'!$A:$X,24,FALSE),"")</f>
        <v/>
      </c>
    </row>
    <row r="39">
      <c r="A39" s="23" t="inlineStr">
        <is>
          <t>RQ-06</t>
        </is>
      </c>
      <c r="B39" s="25" t="inlineStr">
        <is>
          <t>Interrupted recording policy</t>
        </is>
      </c>
      <c r="C39" s="24" t="inlineStr">
        <is>
          <t>Needs confirmation</t>
        </is>
      </c>
      <c r="D39" s="23" t="inlineStr">
        <is>
          <t>SATE-APP-002</t>
        </is>
      </c>
      <c r="E39" s="25" t="inlineStr">
        <is>
          <t>App is force-closed during recording</t>
        </is>
      </c>
      <c r="F39" s="25" t="inlineStr">
        <is>
          <t>Mobile App Lifecycle and Authentication</t>
        </is>
      </c>
      <c r="G39" s="9" t="inlineStr">
        <is>
          <t>P0</t>
        </is>
      </c>
      <c r="H39" s="24">
        <f>IFERROR(VLOOKUP($D39,'Test Cases'!$A:$X,24,FALSE),"")</f>
        <v/>
      </c>
    </row>
    <row r="40">
      <c r="A40" s="23" t="inlineStr">
        <is>
          <t>RQ-06</t>
        </is>
      </c>
      <c r="B40" s="25" t="inlineStr">
        <is>
          <t>Interrupted recording policy</t>
        </is>
      </c>
      <c r="C40" s="24" t="inlineStr">
        <is>
          <t>Needs confirmation</t>
        </is>
      </c>
      <c r="D40" s="23" t="inlineStr">
        <is>
          <t>SATE-BLE-007</t>
        </is>
      </c>
      <c r="E40" s="25" t="inlineStr">
        <is>
          <t>BLE disconnects during recording and later reconnects</t>
        </is>
      </c>
      <c r="F40" s="25" t="inlineStr">
        <is>
          <t>BLE and Device Connectivity</t>
        </is>
      </c>
      <c r="G40" s="9" t="inlineStr">
        <is>
          <t>P0</t>
        </is>
      </c>
      <c r="H40" s="24">
        <f>IFERROR(VLOOKUP($D40,'Test Cases'!$A:$X,24,FALSE),"")</f>
        <v/>
      </c>
    </row>
    <row r="41">
      <c r="A41" s="23" t="inlineStr">
        <is>
          <t>RQ-06</t>
        </is>
      </c>
      <c r="B41" s="25" t="inlineStr">
        <is>
          <t>Interrupted recording policy</t>
        </is>
      </c>
      <c r="C41" s="24" t="inlineStr">
        <is>
          <t>Needs confirmation</t>
        </is>
      </c>
      <c r="D41" s="23" t="inlineStr">
        <is>
          <t>SATE-BLE-008</t>
        </is>
      </c>
      <c r="E41" s="25" t="inlineStr">
        <is>
          <t>BLE accessory battery is depleted during recording</t>
        </is>
      </c>
      <c r="F41" s="25" t="inlineStr">
        <is>
          <t>BLE and Device Connectivity</t>
        </is>
      </c>
      <c r="G41" s="9" t="inlineStr">
        <is>
          <t>P0</t>
        </is>
      </c>
      <c r="H41" s="24">
        <f>IFERROR(VLOOKUP($D41,'Test Cases'!$A:$X,24,FALSE),"")</f>
        <v/>
      </c>
    </row>
    <row r="42">
      <c r="A42" s="23" t="inlineStr">
        <is>
          <t>RQ-06</t>
        </is>
      </c>
      <c r="B42" s="25" t="inlineStr">
        <is>
          <t>Interrupted recording policy</t>
        </is>
      </c>
      <c r="C42" s="24" t="inlineStr">
        <is>
          <t>Needs confirmation</t>
        </is>
      </c>
      <c r="D42" s="23" t="inlineStr">
        <is>
          <t>SATE-REC-001</t>
        </is>
      </c>
      <c r="E42" s="25" t="inlineStr">
        <is>
          <t>Graceful recorder restart during an active recording</t>
        </is>
      </c>
      <c r="F42" s="25" t="inlineStr">
        <is>
          <t>Recorder Interruption and Local Persistence</t>
        </is>
      </c>
      <c r="G42" s="9" t="inlineStr">
        <is>
          <t>P0</t>
        </is>
      </c>
      <c r="H42" s="24">
        <f>IFERROR(VLOOKUP($D42,'Test Cases'!$A:$X,24,FALSE),"")</f>
        <v/>
      </c>
    </row>
    <row r="43">
      <c r="A43" s="23" t="inlineStr">
        <is>
          <t>RQ-06</t>
        </is>
      </c>
      <c r="B43" s="25" t="inlineStr">
        <is>
          <t>Interrupted recording policy</t>
        </is>
      </c>
      <c r="C43" s="24" t="inlineStr">
        <is>
          <t>Needs confirmation</t>
        </is>
      </c>
      <c r="D43" s="23" t="inlineStr">
        <is>
          <t>SATE-REC-002</t>
        </is>
      </c>
      <c r="E43" s="25" t="inlineStr">
        <is>
          <t>Forced power loss during an active recording</t>
        </is>
      </c>
      <c r="F43" s="25" t="inlineStr">
        <is>
          <t>Recorder Interruption and Local Persistence</t>
        </is>
      </c>
      <c r="G43" s="9" t="inlineStr">
        <is>
          <t>P0</t>
        </is>
      </c>
      <c r="H43" s="24">
        <f>IFERROR(VLOOKUP($D43,'Test Cases'!$A:$X,24,FALSE),"")</f>
        <v/>
      </c>
    </row>
    <row r="44">
      <c r="A44" s="23" t="inlineStr">
        <is>
          <t>RQ-06</t>
        </is>
      </c>
      <c r="B44" s="25" t="inlineStr">
        <is>
          <t>Interrupted recording policy</t>
        </is>
      </c>
      <c r="C44" s="24" t="inlineStr">
        <is>
          <t>Needs confirmation</t>
        </is>
      </c>
      <c r="D44" s="23" t="inlineStr">
        <is>
          <t>SATE-REC-003</t>
        </is>
      </c>
      <c r="E44" s="25" t="inlineStr">
        <is>
          <t>Low-battery shutdown during recording</t>
        </is>
      </c>
      <c r="F44" s="25" t="inlineStr">
        <is>
          <t>Recorder Interruption and Local Persistence</t>
        </is>
      </c>
      <c r="G44" s="9" t="inlineStr">
        <is>
          <t>P0</t>
        </is>
      </c>
      <c r="H44" s="24">
        <f>IFERROR(VLOOKUP($D44,'Test Cases'!$A:$X,24,FALSE),"")</f>
        <v/>
      </c>
    </row>
    <row r="45">
      <c r="A45" s="23" t="inlineStr">
        <is>
          <t>RQ-06</t>
        </is>
      </c>
      <c r="B45" s="25" t="inlineStr">
        <is>
          <t>Interrupted recording policy</t>
        </is>
      </c>
      <c r="C45" s="24" t="inlineStr">
        <is>
          <t>Needs confirmation</t>
        </is>
      </c>
      <c r="D45" s="23" t="inlineStr">
        <is>
          <t>SATE-REC-005</t>
        </is>
      </c>
      <c r="E45" s="25" t="inlineStr">
        <is>
          <t>Local storage becomes full during recording</t>
        </is>
      </c>
      <c r="F45" s="25" t="inlineStr">
        <is>
          <t>Recorder Interruption and Local Persistence</t>
        </is>
      </c>
      <c r="G45" s="9" t="inlineStr">
        <is>
          <t>P0</t>
        </is>
      </c>
      <c r="H45" s="24">
        <f>IFERROR(VLOOKUP($D45,'Test Cases'!$A:$X,24,FALSE),"")</f>
        <v/>
      </c>
    </row>
    <row r="46">
      <c r="A46" s="23" t="inlineStr">
        <is>
          <t>RQ-06</t>
        </is>
      </c>
      <c r="B46" s="25" t="inlineStr">
        <is>
          <t>Interrupted recording policy</t>
        </is>
      </c>
      <c r="C46" s="24" t="inlineStr">
        <is>
          <t>Needs confirmation</t>
        </is>
      </c>
      <c r="D46" s="23" t="inlineStr">
        <is>
          <t>SATE-REC-006</t>
        </is>
      </c>
      <c r="E46" s="25" t="inlineStr">
        <is>
          <t>Restart during the local save/finalization step</t>
        </is>
      </c>
      <c r="F46" s="25" t="inlineStr">
        <is>
          <t>Recorder Interruption and Local Persistence</t>
        </is>
      </c>
      <c r="G46" s="9" t="inlineStr">
        <is>
          <t>P0</t>
        </is>
      </c>
      <c r="H46" s="24">
        <f>IFERROR(VLOOKUP($D46,'Test Cases'!$A:$X,24,FALSE),"")</f>
        <v/>
      </c>
    </row>
    <row r="47">
      <c r="A47" s="23" t="inlineStr">
        <is>
          <t>RQ-07</t>
        </is>
      </c>
      <c r="B47" s="25" t="inlineStr">
        <is>
          <t>Minimum and maximum duration</t>
        </is>
      </c>
      <c r="C47" s="24" t="inlineStr">
        <is>
          <t>Needs confirmation</t>
        </is>
      </c>
      <c r="D47" s="23" t="inlineStr">
        <is>
          <t>SATE-E2E-002</t>
        </is>
      </c>
      <c r="E47" s="25" t="inlineStr">
        <is>
          <t>Very short recording near the minimum supported duration</t>
        </is>
      </c>
      <c r="F47" s="25" t="inlineStr">
        <is>
          <t>End-to-End Recording and Sync</t>
        </is>
      </c>
      <c r="G47" s="9" t="inlineStr">
        <is>
          <t>P1</t>
        </is>
      </c>
      <c r="H47" s="24">
        <f>IFERROR(VLOOKUP($D47,'Test Cases'!$A:$X,24,FALSE),"")</f>
        <v/>
      </c>
    </row>
    <row r="48">
      <c r="A48" s="23" t="inlineStr">
        <is>
          <t>RQ-07</t>
        </is>
      </c>
      <c r="B48" s="25" t="inlineStr">
        <is>
          <t>Minimum and maximum duration</t>
        </is>
      </c>
      <c r="C48" s="24" t="inlineStr">
        <is>
          <t>Needs confirmation</t>
        </is>
      </c>
      <c r="D48" s="23" t="inlineStr">
        <is>
          <t>SATE-LONG-001</t>
        </is>
      </c>
      <c r="E48" s="25" t="inlineStr">
        <is>
          <t>Recording at the 30-minute boundary</t>
        </is>
      </c>
      <c r="F48" s="25" t="inlineStr">
        <is>
          <t>Long Session and Performance</t>
        </is>
      </c>
      <c r="G48" s="9" t="inlineStr">
        <is>
          <t>P0</t>
        </is>
      </c>
      <c r="H48" s="24">
        <f>IFERROR(VLOOKUP($D48,'Test Cases'!$A:$X,24,FALSE),"")</f>
        <v/>
      </c>
    </row>
    <row r="49">
      <c r="A49" s="23" t="inlineStr">
        <is>
          <t>RQ-07</t>
        </is>
      </c>
      <c r="B49" s="25" t="inlineStr">
        <is>
          <t>Minimum and maximum duration</t>
        </is>
      </c>
      <c r="C49" s="24" t="inlineStr">
        <is>
          <t>Needs confirmation</t>
        </is>
      </c>
      <c r="D49" s="23" t="inlineStr">
        <is>
          <t>SATE-LONG-002</t>
        </is>
      </c>
      <c r="E49" s="25" t="inlineStr">
        <is>
          <t>Forty-five-minute recording</t>
        </is>
      </c>
      <c r="F49" s="25" t="inlineStr">
        <is>
          <t>Long Session and Performance</t>
        </is>
      </c>
      <c r="G49" s="9" t="inlineStr">
        <is>
          <t>P0</t>
        </is>
      </c>
      <c r="H49" s="24">
        <f>IFERROR(VLOOKUP($D49,'Test Cases'!$A:$X,24,FALSE),"")</f>
        <v/>
      </c>
    </row>
    <row r="50">
      <c r="A50" s="23" t="inlineStr">
        <is>
          <t>RQ-07</t>
        </is>
      </c>
      <c r="B50" s="25" t="inlineStr">
        <is>
          <t>Minimum and maximum duration</t>
        </is>
      </c>
      <c r="C50" s="24" t="inlineStr">
        <is>
          <t>Needs confirmation</t>
        </is>
      </c>
      <c r="D50" s="23" t="inlineStr">
        <is>
          <t>SATE-LONG-003</t>
        </is>
      </c>
      <c r="E50" s="25" t="inlineStr">
        <is>
          <t>Maximum supported recording duration</t>
        </is>
      </c>
      <c r="F50" s="25" t="inlineStr">
        <is>
          <t>Long Session and Performance</t>
        </is>
      </c>
      <c r="G50" s="9" t="inlineStr">
        <is>
          <t>P0</t>
        </is>
      </c>
      <c r="H50" s="24">
        <f>IFERROR(VLOOKUP($D50,'Test Cases'!$A:$X,24,FALSE),"")</f>
        <v/>
      </c>
    </row>
    <row r="51">
      <c r="A51" s="23" t="inlineStr">
        <is>
          <t>RQ-07</t>
        </is>
      </c>
      <c r="B51" s="25" t="inlineStr">
        <is>
          <t>Minimum and maximum duration</t>
        </is>
      </c>
      <c r="C51" s="24" t="inlineStr">
        <is>
          <t>Needs confirmation</t>
        </is>
      </c>
      <c r="D51" s="23" t="inlineStr">
        <is>
          <t>SATE-REC-004</t>
        </is>
      </c>
      <c r="E51" s="25" t="inlineStr">
        <is>
          <t>Insufficient local storage before recording starts</t>
        </is>
      </c>
      <c r="F51" s="25" t="inlineStr">
        <is>
          <t>Recorder Interruption and Local Persistence</t>
        </is>
      </c>
      <c r="G51" s="9" t="inlineStr">
        <is>
          <t>P0</t>
        </is>
      </c>
      <c r="H51" s="24">
        <f>IFERROR(VLOOKUP($D51,'Test Cases'!$A:$X,24,FALSE),"")</f>
        <v/>
      </c>
    </row>
    <row r="52">
      <c r="A52" s="23" t="inlineStr">
        <is>
          <t>RQ-08</t>
        </is>
      </c>
      <c r="B52" s="25" t="inlineStr">
        <is>
          <t>Upload queue behavior</t>
        </is>
      </c>
      <c r="C52" s="24" t="inlineStr">
        <is>
          <t>Required</t>
        </is>
      </c>
      <c r="D52" s="23" t="inlineStr">
        <is>
          <t>SATE-APP-003</t>
        </is>
      </c>
      <c r="E52" s="25" t="inlineStr">
        <is>
          <t>App is force-closed during upload</t>
        </is>
      </c>
      <c r="F52" s="25" t="inlineStr">
        <is>
          <t>Mobile App Lifecycle and Authentication</t>
        </is>
      </c>
      <c r="G52" s="9" t="inlineStr">
        <is>
          <t>P0</t>
        </is>
      </c>
      <c r="H52" s="24">
        <f>IFERROR(VLOOKUP($D52,'Test Cases'!$A:$X,24,FALSE),"")</f>
        <v/>
      </c>
    </row>
    <row r="53">
      <c r="A53" s="23" t="inlineStr">
        <is>
          <t>RQ-08</t>
        </is>
      </c>
      <c r="B53" s="25" t="inlineStr">
        <is>
          <t>Upload queue behavior</t>
        </is>
      </c>
      <c r="C53" s="24" t="inlineStr">
        <is>
          <t>Required</t>
        </is>
      </c>
      <c r="D53" s="23" t="inlineStr">
        <is>
          <t>SATE-APP-004</t>
        </is>
      </c>
      <c r="E53" s="25" t="inlineStr">
        <is>
          <t>Phone restarts during upload</t>
        </is>
      </c>
      <c r="F53" s="25" t="inlineStr">
        <is>
          <t>Mobile App Lifecycle and Authentication</t>
        </is>
      </c>
      <c r="G53" s="9" t="inlineStr">
        <is>
          <t>P0</t>
        </is>
      </c>
      <c r="H53" s="24">
        <f>IFERROR(VLOOKUP($D53,'Test Cases'!$A:$X,24,FALSE),"")</f>
        <v/>
      </c>
    </row>
    <row r="54">
      <c r="A54" s="23" t="inlineStr">
        <is>
          <t>RQ-08</t>
        </is>
      </c>
      <c r="B54" s="25" t="inlineStr">
        <is>
          <t>Upload queue behavior</t>
        </is>
      </c>
      <c r="C54" s="24" t="inlineStr">
        <is>
          <t>Required</t>
        </is>
      </c>
      <c r="D54" s="23" t="inlineStr">
        <is>
          <t>SATE-NET-001</t>
        </is>
      </c>
      <c r="E54" s="25" t="inlineStr">
        <is>
          <t>Recording starts and ends while fully offline</t>
        </is>
      </c>
      <c r="F54" s="25" t="inlineStr">
        <is>
          <t>Network, Offline, and Upload Recovery</t>
        </is>
      </c>
      <c r="G54" s="9" t="inlineStr">
        <is>
          <t>P0</t>
        </is>
      </c>
      <c r="H54" s="24">
        <f>IFERROR(VLOOKUP($D54,'Test Cases'!$A:$X,24,FALSE),"")</f>
        <v/>
      </c>
    </row>
    <row r="55">
      <c r="A55" s="23" t="inlineStr">
        <is>
          <t>RQ-08</t>
        </is>
      </c>
      <c r="B55" s="25" t="inlineStr">
        <is>
          <t>Upload queue behavior</t>
        </is>
      </c>
      <c r="C55" s="24" t="inlineStr">
        <is>
          <t>Required</t>
        </is>
      </c>
      <c r="D55" s="23" t="inlineStr">
        <is>
          <t>SATE-NET-003</t>
        </is>
      </c>
      <c r="E55" s="25" t="inlineStr">
        <is>
          <t>Internet is lost after Stop but before upload starts</t>
        </is>
      </c>
      <c r="F55" s="25" t="inlineStr">
        <is>
          <t>Network, Offline, and Upload Recovery</t>
        </is>
      </c>
      <c r="G55" s="9" t="inlineStr">
        <is>
          <t>P0</t>
        </is>
      </c>
      <c r="H55" s="24">
        <f>IFERROR(VLOOKUP($D55,'Test Cases'!$A:$X,24,FALSE),"")</f>
        <v/>
      </c>
    </row>
    <row r="56">
      <c r="A56" s="23" t="inlineStr">
        <is>
          <t>RQ-08</t>
        </is>
      </c>
      <c r="B56" s="25" t="inlineStr">
        <is>
          <t>Upload queue behavior</t>
        </is>
      </c>
      <c r="C56" s="24" t="inlineStr">
        <is>
          <t>Required</t>
        </is>
      </c>
      <c r="D56" s="23" t="inlineStr">
        <is>
          <t>SATE-QUE-001</t>
        </is>
      </c>
      <c r="E56" s="25" t="inlineStr">
        <is>
          <t>Five recordings made consecutively while online</t>
        </is>
      </c>
      <c r="F56" s="25" t="inlineStr">
        <is>
          <t>Queue, Batch, and Concurrency</t>
        </is>
      </c>
      <c r="G56" s="9" t="inlineStr">
        <is>
          <t>P0</t>
        </is>
      </c>
      <c r="H56" s="24">
        <f>IFERROR(VLOOKUP($D56,'Test Cases'!$A:$X,24,FALSE),"")</f>
        <v/>
      </c>
    </row>
    <row r="57">
      <c r="A57" s="23" t="inlineStr">
        <is>
          <t>RQ-08</t>
        </is>
      </c>
      <c r="B57" s="25" t="inlineStr">
        <is>
          <t>Upload queue behavior</t>
        </is>
      </c>
      <c r="C57" s="24" t="inlineStr">
        <is>
          <t>Required</t>
        </is>
      </c>
      <c r="D57" s="23" t="inlineStr">
        <is>
          <t>SATE-QUE-002</t>
        </is>
      </c>
      <c r="E57" s="25" t="inlineStr">
        <is>
          <t>Start a new recording while the previous session is uploading</t>
        </is>
      </c>
      <c r="F57" s="25" t="inlineStr">
        <is>
          <t>Queue, Batch, and Concurrency</t>
        </is>
      </c>
      <c r="G57" s="9" t="inlineStr">
        <is>
          <t>P0</t>
        </is>
      </c>
      <c r="H57" s="24">
        <f>IFERROR(VLOOKUP($D57,'Test Cases'!$A:$X,24,FALSE),"")</f>
        <v/>
      </c>
    </row>
    <row r="58">
      <c r="A58" s="23" t="inlineStr">
        <is>
          <t>RQ-08</t>
        </is>
      </c>
      <c r="B58" s="25" t="inlineStr">
        <is>
          <t>Upload queue behavior</t>
        </is>
      </c>
      <c r="C58" s="24" t="inlineStr">
        <is>
          <t>Required</t>
        </is>
      </c>
      <c r="D58" s="23" t="inlineStr">
        <is>
          <t>SATE-QUE-003</t>
        </is>
      </c>
      <c r="E58" s="25" t="inlineStr">
        <is>
          <t>Five offline recordings queued and uploaded later</t>
        </is>
      </c>
      <c r="F58" s="25" t="inlineStr">
        <is>
          <t>Queue, Batch, and Concurrency</t>
        </is>
      </c>
      <c r="G58" s="9" t="inlineStr">
        <is>
          <t>P0</t>
        </is>
      </c>
      <c r="H58" s="24">
        <f>IFERROR(VLOOKUP($D58,'Test Cases'!$A:$X,24,FALSE),"")</f>
        <v/>
      </c>
    </row>
    <row r="59">
      <c r="A59" s="23" t="inlineStr">
        <is>
          <t>RQ-08</t>
        </is>
      </c>
      <c r="B59" s="25" t="inlineStr">
        <is>
          <t>Upload queue behavior</t>
        </is>
      </c>
      <c r="C59" s="24" t="inlineStr">
        <is>
          <t>Required</t>
        </is>
      </c>
      <c r="D59" s="23" t="inlineStr">
        <is>
          <t>SATE-QUE-004</t>
        </is>
      </c>
      <c r="E59" s="25" t="inlineStr">
        <is>
          <t>One queued session fails while later sessions continue</t>
        </is>
      </c>
      <c r="F59" s="25" t="inlineStr">
        <is>
          <t>Queue, Batch, and Concurrency</t>
        </is>
      </c>
      <c r="G59" s="9" t="inlineStr">
        <is>
          <t>P0</t>
        </is>
      </c>
      <c r="H59" s="24">
        <f>IFERROR(VLOOKUP($D59,'Test Cases'!$A:$X,24,FALSE),"")</f>
        <v/>
      </c>
    </row>
    <row r="60">
      <c r="A60" s="23" t="inlineStr">
        <is>
          <t>RQ-08</t>
        </is>
      </c>
      <c r="B60" s="25" t="inlineStr">
        <is>
          <t>Upload queue behavior</t>
        </is>
      </c>
      <c r="C60" s="24" t="inlineStr">
        <is>
          <t>Required</t>
        </is>
      </c>
      <c r="D60" s="23" t="inlineStr">
        <is>
          <t>SATE-QUE-005</t>
        </is>
      </c>
      <c r="E60" s="25" t="inlineStr">
        <is>
          <t>Queue order and status persist across app/recorder restart</t>
        </is>
      </c>
      <c r="F60" s="25" t="inlineStr">
        <is>
          <t>Queue, Batch, and Concurrency</t>
        </is>
      </c>
      <c r="G60" s="9" t="inlineStr">
        <is>
          <t>P0</t>
        </is>
      </c>
      <c r="H60" s="24">
        <f>IFERROR(VLOOKUP($D60,'Test Cases'!$A:$X,24,FALSE),"")</f>
        <v/>
      </c>
    </row>
    <row r="61">
      <c r="A61" s="23" t="inlineStr">
        <is>
          <t>RQ-08</t>
        </is>
      </c>
      <c r="B61" s="25" t="inlineStr">
        <is>
          <t>Upload queue behavior</t>
        </is>
      </c>
      <c r="C61" s="24" t="inlineStr">
        <is>
          <t>Required</t>
        </is>
      </c>
      <c r="D61" s="23" t="inlineStr">
        <is>
          <t>SATE-REC-007</t>
        </is>
      </c>
      <c r="E61" s="25" t="inlineStr">
        <is>
          <t>Restart after recording stops but before upload begins</t>
        </is>
      </c>
      <c r="F61" s="25" t="inlineStr">
        <is>
          <t>Recorder Interruption and Local Persistence</t>
        </is>
      </c>
      <c r="G61" s="9" t="inlineStr">
        <is>
          <t>P0</t>
        </is>
      </c>
      <c r="H61" s="24">
        <f>IFERROR(VLOOKUP($D61,'Test Cases'!$A:$X,24,FALSE),"")</f>
        <v/>
      </c>
    </row>
    <row r="62">
      <c r="A62" s="23" t="inlineStr">
        <is>
          <t>RQ-09</t>
        </is>
      </c>
      <c r="B62" s="25" t="inlineStr">
        <is>
          <t>Upload resume strategy</t>
        </is>
      </c>
      <c r="C62" s="24" t="inlineStr">
        <is>
          <t>Needs confirmation</t>
        </is>
      </c>
      <c r="D62" s="23" t="inlineStr">
        <is>
          <t>SATE-APP-003</t>
        </is>
      </c>
      <c r="E62" s="25" t="inlineStr">
        <is>
          <t>App is force-closed during upload</t>
        </is>
      </c>
      <c r="F62" s="25" t="inlineStr">
        <is>
          <t>Mobile App Lifecycle and Authentication</t>
        </is>
      </c>
      <c r="G62" s="9" t="inlineStr">
        <is>
          <t>P0</t>
        </is>
      </c>
      <c r="H62" s="24">
        <f>IFERROR(VLOOKUP($D62,'Test Cases'!$A:$X,24,FALSE),"")</f>
        <v/>
      </c>
    </row>
    <row r="63">
      <c r="A63" s="23" t="inlineStr">
        <is>
          <t>RQ-09</t>
        </is>
      </c>
      <c r="B63" s="25" t="inlineStr">
        <is>
          <t>Upload resume strategy</t>
        </is>
      </c>
      <c r="C63" s="24" t="inlineStr">
        <is>
          <t>Needs confirmation</t>
        </is>
      </c>
      <c r="D63" s="23" t="inlineStr">
        <is>
          <t>SATE-LONG-004</t>
        </is>
      </c>
      <c r="E63" s="25" t="inlineStr">
        <is>
          <t>Long-session upload interrupted and resumed</t>
        </is>
      </c>
      <c r="F63" s="25" t="inlineStr">
        <is>
          <t>Long Session and Performance</t>
        </is>
      </c>
      <c r="G63" s="9" t="inlineStr">
        <is>
          <t>P0</t>
        </is>
      </c>
      <c r="H63" s="24">
        <f>IFERROR(VLOOKUP($D63,'Test Cases'!$A:$X,24,FALSE),"")</f>
        <v/>
      </c>
    </row>
    <row r="64">
      <c r="A64" s="23" t="inlineStr">
        <is>
          <t>RQ-09</t>
        </is>
      </c>
      <c r="B64" s="25" t="inlineStr">
        <is>
          <t>Upload resume strategy</t>
        </is>
      </c>
      <c r="C64" s="24" t="inlineStr">
        <is>
          <t>Needs confirmation</t>
        </is>
      </c>
      <c r="D64" s="23" t="inlineStr">
        <is>
          <t>SATE-NET-004</t>
        </is>
      </c>
      <c r="E64" s="25" t="inlineStr">
        <is>
          <t>Internet drops during an active upload</t>
        </is>
      </c>
      <c r="F64" s="25" t="inlineStr">
        <is>
          <t>Network, Offline, and Upload Recovery</t>
        </is>
      </c>
      <c r="G64" s="9" t="inlineStr">
        <is>
          <t>P0</t>
        </is>
      </c>
      <c r="H64" s="24">
        <f>IFERROR(VLOOKUP($D64,'Test Cases'!$A:$X,24,FALSE),"")</f>
        <v/>
      </c>
    </row>
    <row r="65">
      <c r="A65" s="23" t="inlineStr">
        <is>
          <t>RQ-09</t>
        </is>
      </c>
      <c r="B65" s="25" t="inlineStr">
        <is>
          <t>Upload resume strategy</t>
        </is>
      </c>
      <c r="C65" s="24" t="inlineStr">
        <is>
          <t>Needs confirmation</t>
        </is>
      </c>
      <c r="D65" s="23" t="inlineStr">
        <is>
          <t>SATE-NET-008</t>
        </is>
      </c>
      <c r="E65" s="25" t="inlineStr">
        <is>
          <t>Switch from one Wi-Fi network to another or to a hotspot during upload</t>
        </is>
      </c>
      <c r="F65" s="25" t="inlineStr">
        <is>
          <t>Network, Offline, and Upload Recovery</t>
        </is>
      </c>
      <c r="G65" s="9" t="inlineStr">
        <is>
          <t>P1</t>
        </is>
      </c>
      <c r="H65" s="24">
        <f>IFERROR(VLOOKUP($D65,'Test Cases'!$A:$X,24,FALSE),"")</f>
        <v/>
      </c>
    </row>
    <row r="66">
      <c r="A66" s="23" t="inlineStr">
        <is>
          <t>RQ-09</t>
        </is>
      </c>
      <c r="B66" s="25" t="inlineStr">
        <is>
          <t>Upload resume strategy</t>
        </is>
      </c>
      <c r="C66" s="24" t="inlineStr">
        <is>
          <t>Needs confirmation</t>
        </is>
      </c>
      <c r="D66" s="23" t="inlineStr">
        <is>
          <t>SATE-NET-009</t>
        </is>
      </c>
      <c r="E66" s="25" t="inlineStr">
        <is>
          <t>Rapidly flapping or weak network</t>
        </is>
      </c>
      <c r="F66" s="25" t="inlineStr">
        <is>
          <t>Network, Offline, and Upload Recovery</t>
        </is>
      </c>
      <c r="G66" s="9" t="inlineStr">
        <is>
          <t>P1</t>
        </is>
      </c>
      <c r="H66" s="24">
        <f>IFERROR(VLOOKUP($D66,'Test Cases'!$A:$X,24,FALSE),"")</f>
        <v/>
      </c>
    </row>
    <row r="67">
      <c r="A67" s="23" t="inlineStr">
        <is>
          <t>RQ-09</t>
        </is>
      </c>
      <c r="B67" s="25" t="inlineStr">
        <is>
          <t>Upload resume strategy</t>
        </is>
      </c>
      <c r="C67" s="24" t="inlineStr">
        <is>
          <t>Needs confirmation</t>
        </is>
      </c>
      <c r="D67" s="23" t="inlineStr">
        <is>
          <t>SATE-NET-010</t>
        </is>
      </c>
      <c r="E67" s="25" t="inlineStr">
        <is>
          <t>User taps manual Retry while automatic retry is already running</t>
        </is>
      </c>
      <c r="F67" s="25" t="inlineStr">
        <is>
          <t>Network, Offline, and Upload Recovery</t>
        </is>
      </c>
      <c r="G67" s="9" t="inlineStr">
        <is>
          <t>P0</t>
        </is>
      </c>
      <c r="H67" s="24">
        <f>IFERROR(VLOOKUP($D67,'Test Cases'!$A:$X,24,FALSE),"")</f>
        <v/>
      </c>
    </row>
    <row r="68">
      <c r="A68" s="23" t="inlineStr">
        <is>
          <t>RQ-10</t>
        </is>
      </c>
      <c r="B68" s="25" t="inlineStr">
        <is>
          <t>Offline/background behavior</t>
        </is>
      </c>
      <c r="C68" s="24" t="inlineStr">
        <is>
          <t>Required</t>
        </is>
      </c>
      <c r="D68" s="23" t="inlineStr">
        <is>
          <t>SATE-APP-001</t>
        </is>
      </c>
      <c r="E68" s="25" t="inlineStr">
        <is>
          <t>App moves to background during an active recording</t>
        </is>
      </c>
      <c r="F68" s="25" t="inlineStr">
        <is>
          <t>Mobile App Lifecycle and Authentication</t>
        </is>
      </c>
      <c r="G68" s="9" t="inlineStr">
        <is>
          <t>P0</t>
        </is>
      </c>
      <c r="H68" s="24">
        <f>IFERROR(VLOOKUP($D68,'Test Cases'!$A:$X,24,FALSE),"")</f>
        <v/>
      </c>
    </row>
    <row r="69">
      <c r="A69" s="23" t="inlineStr">
        <is>
          <t>RQ-10</t>
        </is>
      </c>
      <c r="B69" s="25" t="inlineStr">
        <is>
          <t>Offline/background behavior</t>
        </is>
      </c>
      <c r="C69" s="24" t="inlineStr">
        <is>
          <t>Required</t>
        </is>
      </c>
      <c r="D69" s="23" t="inlineStr">
        <is>
          <t>SATE-APP-003</t>
        </is>
      </c>
      <c r="E69" s="25" t="inlineStr">
        <is>
          <t>App is force-closed during upload</t>
        </is>
      </c>
      <c r="F69" s="25" t="inlineStr">
        <is>
          <t>Mobile App Lifecycle and Authentication</t>
        </is>
      </c>
      <c r="G69" s="9" t="inlineStr">
        <is>
          <t>P0</t>
        </is>
      </c>
      <c r="H69" s="24">
        <f>IFERROR(VLOOKUP($D69,'Test Cases'!$A:$X,24,FALSE),"")</f>
        <v/>
      </c>
    </row>
    <row r="70">
      <c r="A70" s="23" t="inlineStr">
        <is>
          <t>RQ-10</t>
        </is>
      </c>
      <c r="B70" s="25" t="inlineStr">
        <is>
          <t>Offline/background behavior</t>
        </is>
      </c>
      <c r="C70" s="24" t="inlineStr">
        <is>
          <t>Required</t>
        </is>
      </c>
      <c r="D70" s="23" t="inlineStr">
        <is>
          <t>SATE-APP-004</t>
        </is>
      </c>
      <c r="E70" s="25" t="inlineStr">
        <is>
          <t>Phone restarts during upload</t>
        </is>
      </c>
      <c r="F70" s="25" t="inlineStr">
        <is>
          <t>Mobile App Lifecycle and Authentication</t>
        </is>
      </c>
      <c r="G70" s="9" t="inlineStr">
        <is>
          <t>P0</t>
        </is>
      </c>
      <c r="H70" s="24">
        <f>IFERROR(VLOOKUP($D70,'Test Cases'!$A:$X,24,FALSE),"")</f>
        <v/>
      </c>
    </row>
    <row r="71">
      <c r="A71" s="23" t="inlineStr">
        <is>
          <t>RQ-10</t>
        </is>
      </c>
      <c r="B71" s="25" t="inlineStr">
        <is>
          <t>Offline/background behavior</t>
        </is>
      </c>
      <c r="C71" s="24" t="inlineStr">
        <is>
          <t>Required</t>
        </is>
      </c>
      <c r="D71" s="23" t="inlineStr">
        <is>
          <t>SATE-APP-005</t>
        </is>
      </c>
      <c r="E71" s="25" t="inlineStr">
        <is>
          <t>Authentication token expires during upload or processing</t>
        </is>
      </c>
      <c r="F71" s="25" t="inlineStr">
        <is>
          <t>Mobile App Lifecycle and Authentication</t>
        </is>
      </c>
      <c r="G71" s="9" t="inlineStr">
        <is>
          <t>P0</t>
        </is>
      </c>
      <c r="H71" s="24">
        <f>IFERROR(VLOOKUP($D71,'Test Cases'!$A:$X,24,FALSE),"")</f>
        <v/>
      </c>
    </row>
    <row r="72">
      <c r="A72" s="23" t="inlineStr">
        <is>
          <t>RQ-10</t>
        </is>
      </c>
      <c r="B72" s="25" t="inlineStr">
        <is>
          <t>Offline/background behavior</t>
        </is>
      </c>
      <c r="C72" s="24" t="inlineStr">
        <is>
          <t>Required</t>
        </is>
      </c>
      <c r="D72" s="23" t="inlineStr">
        <is>
          <t>SATE-LONG-004</t>
        </is>
      </c>
      <c r="E72" s="25" t="inlineStr">
        <is>
          <t>Long-session upload interrupted and resumed</t>
        </is>
      </c>
      <c r="F72" s="25" t="inlineStr">
        <is>
          <t>Long Session and Performance</t>
        </is>
      </c>
      <c r="G72" s="9" t="inlineStr">
        <is>
          <t>P0</t>
        </is>
      </c>
      <c r="H72" s="24">
        <f>IFERROR(VLOOKUP($D72,'Test Cases'!$A:$X,24,FALSE),"")</f>
        <v/>
      </c>
    </row>
    <row r="73">
      <c r="A73" s="23" t="inlineStr">
        <is>
          <t>RQ-10</t>
        </is>
      </c>
      <c r="B73" s="25" t="inlineStr">
        <is>
          <t>Offline/background behavior</t>
        </is>
      </c>
      <c r="C73" s="24" t="inlineStr">
        <is>
          <t>Required</t>
        </is>
      </c>
      <c r="D73" s="23" t="inlineStr">
        <is>
          <t>SATE-LONG-005</t>
        </is>
      </c>
      <c r="E73" s="25" t="inlineStr">
        <is>
          <t>Phone locks or mobile app remains in background during a long recording</t>
        </is>
      </c>
      <c r="F73" s="25" t="inlineStr">
        <is>
          <t>Long Session and Performance</t>
        </is>
      </c>
      <c r="G73" s="9" t="inlineStr">
        <is>
          <t>P0</t>
        </is>
      </c>
      <c r="H73" s="24">
        <f>IFERROR(VLOOKUP($D73,'Test Cases'!$A:$X,24,FALSE),"")</f>
        <v/>
      </c>
    </row>
    <row r="74">
      <c r="A74" s="23" t="inlineStr">
        <is>
          <t>RQ-10</t>
        </is>
      </c>
      <c r="B74" s="25" t="inlineStr">
        <is>
          <t>Offline/background behavior</t>
        </is>
      </c>
      <c r="C74" s="24" t="inlineStr">
        <is>
          <t>Required</t>
        </is>
      </c>
      <c r="D74" s="23" t="inlineStr">
        <is>
          <t>SATE-NET-001</t>
        </is>
      </c>
      <c r="E74" s="25" t="inlineStr">
        <is>
          <t>Recording starts and ends while fully offline</t>
        </is>
      </c>
      <c r="F74" s="25" t="inlineStr">
        <is>
          <t>Network, Offline, and Upload Recovery</t>
        </is>
      </c>
      <c r="G74" s="9" t="inlineStr">
        <is>
          <t>P0</t>
        </is>
      </c>
      <c r="H74" s="24">
        <f>IFERROR(VLOOKUP($D74,'Test Cases'!$A:$X,24,FALSE),"")</f>
        <v/>
      </c>
    </row>
    <row r="75">
      <c r="A75" s="23" t="inlineStr">
        <is>
          <t>RQ-10</t>
        </is>
      </c>
      <c r="B75" s="25" t="inlineStr">
        <is>
          <t>Offline/background behavior</t>
        </is>
      </c>
      <c r="C75" s="24" t="inlineStr">
        <is>
          <t>Required</t>
        </is>
      </c>
      <c r="D75" s="23" t="inlineStr">
        <is>
          <t>SATE-NET-002</t>
        </is>
      </c>
      <c r="E75" s="25" t="inlineStr">
        <is>
          <t>Internet connection is lost during recording</t>
        </is>
      </c>
      <c r="F75" s="25" t="inlineStr">
        <is>
          <t>Network, Offline, and Upload Recovery</t>
        </is>
      </c>
      <c r="G75" s="9" t="inlineStr">
        <is>
          <t>P0</t>
        </is>
      </c>
      <c r="H75" s="24">
        <f>IFERROR(VLOOKUP($D75,'Test Cases'!$A:$X,24,FALSE),"")</f>
        <v/>
      </c>
    </row>
    <row r="76">
      <c r="A76" s="23" t="inlineStr">
        <is>
          <t>RQ-10</t>
        </is>
      </c>
      <c r="B76" s="25" t="inlineStr">
        <is>
          <t>Offline/background behavior</t>
        </is>
      </c>
      <c r="C76" s="24" t="inlineStr">
        <is>
          <t>Required</t>
        </is>
      </c>
      <c r="D76" s="23" t="inlineStr">
        <is>
          <t>SATE-NET-003</t>
        </is>
      </c>
      <c r="E76" s="25" t="inlineStr">
        <is>
          <t>Internet is lost after Stop but before upload starts</t>
        </is>
      </c>
      <c r="F76" s="25" t="inlineStr">
        <is>
          <t>Network, Offline, and Upload Recovery</t>
        </is>
      </c>
      <c r="G76" s="9" t="inlineStr">
        <is>
          <t>P0</t>
        </is>
      </c>
      <c r="H76" s="24">
        <f>IFERROR(VLOOKUP($D76,'Test Cases'!$A:$X,24,FALSE),"")</f>
        <v/>
      </c>
    </row>
    <row r="77">
      <c r="A77" s="23" t="inlineStr">
        <is>
          <t>RQ-10</t>
        </is>
      </c>
      <c r="B77" s="25" t="inlineStr">
        <is>
          <t>Offline/background behavior</t>
        </is>
      </c>
      <c r="C77" s="24" t="inlineStr">
        <is>
          <t>Required</t>
        </is>
      </c>
      <c r="D77" s="23" t="inlineStr">
        <is>
          <t>SATE-NET-004</t>
        </is>
      </c>
      <c r="E77" s="25" t="inlineStr">
        <is>
          <t>Internet drops during an active upload</t>
        </is>
      </c>
      <c r="F77" s="25" t="inlineStr">
        <is>
          <t>Network, Offline, and Upload Recovery</t>
        </is>
      </c>
      <c r="G77" s="9" t="inlineStr">
        <is>
          <t>P0</t>
        </is>
      </c>
      <c r="H77" s="24">
        <f>IFERROR(VLOOKUP($D77,'Test Cases'!$A:$X,24,FALSE),"")</f>
        <v/>
      </c>
    </row>
    <row r="78">
      <c r="A78" s="23" t="inlineStr">
        <is>
          <t>RQ-10</t>
        </is>
      </c>
      <c r="B78" s="25" t="inlineStr">
        <is>
          <t>Offline/background behavior</t>
        </is>
      </c>
      <c r="C78" s="24" t="inlineStr">
        <is>
          <t>Required</t>
        </is>
      </c>
      <c r="D78" s="23" t="inlineStr">
        <is>
          <t>SATE-NET-005</t>
        </is>
      </c>
      <c r="E78" s="25" t="inlineStr">
        <is>
          <t>Connectivity returns while app/device is in background or screen is locked</t>
        </is>
      </c>
      <c r="F78" s="25" t="inlineStr">
        <is>
          <t>Network, Offline, and Upload Recovery</t>
        </is>
      </c>
      <c r="G78" s="9" t="inlineStr">
        <is>
          <t>P0</t>
        </is>
      </c>
      <c r="H78" s="24">
        <f>IFERROR(VLOOKUP($D78,'Test Cases'!$A:$X,24,FALSE),"")</f>
        <v/>
      </c>
    </row>
    <row r="79">
      <c r="A79" s="23" t="inlineStr">
        <is>
          <t>RQ-10</t>
        </is>
      </c>
      <c r="B79" s="25" t="inlineStr">
        <is>
          <t>Offline/background behavior</t>
        </is>
      </c>
      <c r="C79" s="24" t="inlineStr">
        <is>
          <t>Required</t>
        </is>
      </c>
      <c r="D79" s="23" t="inlineStr">
        <is>
          <t>SATE-NET-006</t>
        </is>
      </c>
      <c r="E79" s="25" t="inlineStr">
        <is>
          <t>Wi-Fi is connected but Internet access is unavailable</t>
        </is>
      </c>
      <c r="F79" s="25" t="inlineStr">
        <is>
          <t>Network, Offline, and Upload Recovery</t>
        </is>
      </c>
      <c r="G79" s="9" t="inlineStr">
        <is>
          <t>P1</t>
        </is>
      </c>
      <c r="H79" s="24">
        <f>IFERROR(VLOOKUP($D79,'Test Cases'!$A:$X,24,FALSE),"")</f>
        <v/>
      </c>
    </row>
    <row r="80">
      <c r="A80" s="23" t="inlineStr">
        <is>
          <t>RQ-10</t>
        </is>
      </c>
      <c r="B80" s="25" t="inlineStr">
        <is>
          <t>Offline/background behavior</t>
        </is>
      </c>
      <c r="C80" s="24" t="inlineStr">
        <is>
          <t>Required</t>
        </is>
      </c>
      <c r="D80" s="23" t="inlineStr">
        <is>
          <t>SATE-NET-007</t>
        </is>
      </c>
      <c r="E80" s="25" t="inlineStr">
        <is>
          <t>Captive portal or authentication-required Wi-Fi</t>
        </is>
      </c>
      <c r="F80" s="25" t="inlineStr">
        <is>
          <t>Network, Offline, and Upload Recovery</t>
        </is>
      </c>
      <c r="G80" s="9" t="inlineStr">
        <is>
          <t>P2</t>
        </is>
      </c>
      <c r="H80" s="24">
        <f>IFERROR(VLOOKUP($D80,'Test Cases'!$A:$X,24,FALSE),"")</f>
        <v/>
      </c>
    </row>
    <row r="81">
      <c r="A81" s="23" t="inlineStr">
        <is>
          <t>RQ-10</t>
        </is>
      </c>
      <c r="B81" s="25" t="inlineStr">
        <is>
          <t>Offline/background behavior</t>
        </is>
      </c>
      <c r="C81" s="24" t="inlineStr">
        <is>
          <t>Required</t>
        </is>
      </c>
      <c r="D81" s="23" t="inlineStr">
        <is>
          <t>SATE-NET-008</t>
        </is>
      </c>
      <c r="E81" s="25" t="inlineStr">
        <is>
          <t>Switch from one Wi-Fi network to another or to a hotspot during upload</t>
        </is>
      </c>
      <c r="F81" s="25" t="inlineStr">
        <is>
          <t>Network, Offline, and Upload Recovery</t>
        </is>
      </c>
      <c r="G81" s="9" t="inlineStr">
        <is>
          <t>P1</t>
        </is>
      </c>
      <c r="H81" s="24">
        <f>IFERROR(VLOOKUP($D81,'Test Cases'!$A:$X,24,FALSE),"")</f>
        <v/>
      </c>
    </row>
    <row r="82">
      <c r="A82" s="23" t="inlineStr">
        <is>
          <t>RQ-10</t>
        </is>
      </c>
      <c r="B82" s="25" t="inlineStr">
        <is>
          <t>Offline/background behavior</t>
        </is>
      </c>
      <c r="C82" s="24" t="inlineStr">
        <is>
          <t>Required</t>
        </is>
      </c>
      <c r="D82" s="23" t="inlineStr">
        <is>
          <t>SATE-NET-009</t>
        </is>
      </c>
      <c r="E82" s="25" t="inlineStr">
        <is>
          <t>Rapidly flapping or weak network</t>
        </is>
      </c>
      <c r="F82" s="25" t="inlineStr">
        <is>
          <t>Network, Offline, and Upload Recovery</t>
        </is>
      </c>
      <c r="G82" s="9" t="inlineStr">
        <is>
          <t>P1</t>
        </is>
      </c>
      <c r="H82" s="24">
        <f>IFERROR(VLOOKUP($D82,'Test Cases'!$A:$X,24,FALSE),"")</f>
        <v/>
      </c>
    </row>
    <row r="83">
      <c r="A83" s="23" t="inlineStr">
        <is>
          <t>RQ-10</t>
        </is>
      </c>
      <c r="B83" s="25" t="inlineStr">
        <is>
          <t>Offline/background behavior</t>
        </is>
      </c>
      <c r="C83" s="24" t="inlineStr">
        <is>
          <t>Required</t>
        </is>
      </c>
      <c r="D83" s="23" t="inlineStr">
        <is>
          <t>SATE-QUE-002</t>
        </is>
      </c>
      <c r="E83" s="25" t="inlineStr">
        <is>
          <t>Start a new recording while the previous session is uploading</t>
        </is>
      </c>
      <c r="F83" s="25" t="inlineStr">
        <is>
          <t>Queue, Batch, and Concurrency</t>
        </is>
      </c>
      <c r="G83" s="9" t="inlineStr">
        <is>
          <t>P0</t>
        </is>
      </c>
      <c r="H83" s="24">
        <f>IFERROR(VLOOKUP($D83,'Test Cases'!$A:$X,24,FALSE),"")</f>
        <v/>
      </c>
    </row>
    <row r="84">
      <c r="A84" s="23" t="inlineStr">
        <is>
          <t>RQ-10</t>
        </is>
      </c>
      <c r="B84" s="25" t="inlineStr">
        <is>
          <t>Offline/background behavior</t>
        </is>
      </c>
      <c r="C84" s="24" t="inlineStr">
        <is>
          <t>Required</t>
        </is>
      </c>
      <c r="D84" s="23" t="inlineStr">
        <is>
          <t>SATE-QUE-003</t>
        </is>
      </c>
      <c r="E84" s="25" t="inlineStr">
        <is>
          <t>Five offline recordings queued and uploaded later</t>
        </is>
      </c>
      <c r="F84" s="25" t="inlineStr">
        <is>
          <t>Queue, Batch, and Concurrency</t>
        </is>
      </c>
      <c r="G84" s="9" t="inlineStr">
        <is>
          <t>P0</t>
        </is>
      </c>
      <c r="H84" s="24">
        <f>IFERROR(VLOOKUP($D84,'Test Cases'!$A:$X,24,FALSE),"")</f>
        <v/>
      </c>
    </row>
    <row r="85">
      <c r="A85" s="23" t="inlineStr">
        <is>
          <t>RQ-10</t>
        </is>
      </c>
      <c r="B85" s="25" t="inlineStr">
        <is>
          <t>Offline/background behavior</t>
        </is>
      </c>
      <c r="C85" s="24" t="inlineStr">
        <is>
          <t>Required</t>
        </is>
      </c>
      <c r="D85" s="23" t="inlineStr">
        <is>
          <t>SATE-QUE-005</t>
        </is>
      </c>
      <c r="E85" s="25" t="inlineStr">
        <is>
          <t>Queue order and status persist across app/recorder restart</t>
        </is>
      </c>
      <c r="F85" s="25" t="inlineStr">
        <is>
          <t>Queue, Batch, and Concurrency</t>
        </is>
      </c>
      <c r="G85" s="9" t="inlineStr">
        <is>
          <t>P0</t>
        </is>
      </c>
      <c r="H85" s="24">
        <f>IFERROR(VLOOKUP($D85,'Test Cases'!$A:$X,24,FALSE),"")</f>
        <v/>
      </c>
    </row>
    <row r="86">
      <c r="A86" s="23" t="inlineStr">
        <is>
          <t>RQ-10</t>
        </is>
      </c>
      <c r="B86" s="25" t="inlineStr">
        <is>
          <t>Offline/background behavior</t>
        </is>
      </c>
      <c r="C86" s="24" t="inlineStr">
        <is>
          <t>Required</t>
        </is>
      </c>
      <c r="D86" s="23" t="inlineStr">
        <is>
          <t>SATE-REC-007</t>
        </is>
      </c>
      <c r="E86" s="25" t="inlineStr">
        <is>
          <t>Restart after recording stops but before upload begins</t>
        </is>
      </c>
      <c r="F86" s="25" t="inlineStr">
        <is>
          <t>Recorder Interruption and Local Persistence</t>
        </is>
      </c>
      <c r="G86" s="9" t="inlineStr">
        <is>
          <t>P0</t>
        </is>
      </c>
      <c r="H86" s="24">
        <f>IFERROR(VLOOKUP($D86,'Test Cases'!$A:$X,24,FALSE),"")</f>
        <v/>
      </c>
    </row>
    <row r="87">
      <c r="A87" s="23" t="inlineStr">
        <is>
          <t>RQ-11</t>
        </is>
      </c>
      <c r="B87" s="25" t="inlineStr">
        <is>
          <t>5xx/timeout retry policy</t>
        </is>
      </c>
      <c r="C87" s="24" t="inlineStr">
        <is>
          <t>Partially defined</t>
        </is>
      </c>
      <c r="D87" s="23" t="inlineStr">
        <is>
          <t>SATE-BE-002</t>
        </is>
      </c>
      <c r="E87" s="25" t="inlineStr">
        <is>
          <t>AI service returns 500 once, then succeeds</t>
        </is>
      </c>
      <c r="F87" s="25" t="inlineStr">
        <is>
          <t>Backend, Retry, and AI Processing</t>
        </is>
      </c>
      <c r="G87" s="9" t="inlineStr">
        <is>
          <t>P0</t>
        </is>
      </c>
      <c r="H87" s="24">
        <f>IFERROR(VLOOKUP($D87,'Test Cases'!$A:$X,24,FALSE),"")</f>
        <v/>
      </c>
    </row>
    <row r="88">
      <c r="A88" s="23" t="inlineStr">
        <is>
          <t>RQ-11</t>
        </is>
      </c>
      <c r="B88" s="25" t="inlineStr">
        <is>
          <t>5xx/timeout retry policy</t>
        </is>
      </c>
      <c r="C88" s="24" t="inlineStr">
        <is>
          <t>Partially defined</t>
        </is>
      </c>
      <c r="D88" s="23" t="inlineStr">
        <is>
          <t>SATE-BE-003</t>
        </is>
      </c>
      <c r="E88" s="25" t="inlineStr">
        <is>
          <t>AI service returns 5xx on all three allowed attempts</t>
        </is>
      </c>
      <c r="F88" s="25" t="inlineStr">
        <is>
          <t>Backend, Retry, and AI Processing</t>
        </is>
      </c>
      <c r="G88" s="9" t="inlineStr">
        <is>
          <t>P0</t>
        </is>
      </c>
      <c r="H88" s="24">
        <f>IFERROR(VLOOKUP($D88,'Test Cases'!$A:$X,24,FALSE),"")</f>
        <v/>
      </c>
    </row>
    <row r="89">
      <c r="A89" s="23" t="inlineStr">
        <is>
          <t>RQ-11</t>
        </is>
      </c>
      <c r="B89" s="25" t="inlineStr">
        <is>
          <t>5xx/timeout retry policy</t>
        </is>
      </c>
      <c r="C89" s="24" t="inlineStr">
        <is>
          <t>Partially defined</t>
        </is>
      </c>
      <c r="D89" s="23" t="inlineStr">
        <is>
          <t>SATE-BE-005</t>
        </is>
      </c>
      <c r="E89" s="25" t="inlineStr">
        <is>
          <t>AI request times out, then succeeds</t>
        </is>
      </c>
      <c r="F89" s="25" t="inlineStr">
        <is>
          <t>Backend, Retry, and AI Processing</t>
        </is>
      </c>
      <c r="G89" s="9" t="inlineStr">
        <is>
          <t>P0</t>
        </is>
      </c>
      <c r="H89" s="24">
        <f>IFERROR(VLOOKUP($D89,'Test Cases'!$A:$X,24,FALSE),"")</f>
        <v/>
      </c>
    </row>
    <row r="90">
      <c r="A90" s="23" t="inlineStr">
        <is>
          <t>RQ-11</t>
        </is>
      </c>
      <c r="B90" s="25" t="inlineStr">
        <is>
          <t>5xx/timeout retry policy</t>
        </is>
      </c>
      <c r="C90" s="24" t="inlineStr">
        <is>
          <t>Partially defined</t>
        </is>
      </c>
      <c r="D90" s="23" t="inlineStr">
        <is>
          <t>SATE-BE-010</t>
        </is>
      </c>
      <c r="E90" s="25" t="inlineStr">
        <is>
          <t>Cloudflare or Edge Function is temporarily unavailable</t>
        </is>
      </c>
      <c r="F90" s="25" t="inlineStr">
        <is>
          <t>Backend, Retry, and AI Processing</t>
        </is>
      </c>
      <c r="G90" s="9" t="inlineStr">
        <is>
          <t>P0</t>
        </is>
      </c>
      <c r="H90" s="24">
        <f>IFERROR(VLOOKUP($D90,'Test Cases'!$A:$X,24,FALSE),"")</f>
        <v/>
      </c>
    </row>
    <row r="91">
      <c r="A91" s="23" t="inlineStr">
        <is>
          <t>RQ-11</t>
        </is>
      </c>
      <c r="B91" s="25" t="inlineStr">
        <is>
          <t>5xx/timeout retry policy</t>
        </is>
      </c>
      <c r="C91" s="24" t="inlineStr">
        <is>
          <t>Partially defined</t>
        </is>
      </c>
      <c r="D91" s="23" t="inlineStr">
        <is>
          <t>SATE-QUE-004</t>
        </is>
      </c>
      <c r="E91" s="25" t="inlineStr">
        <is>
          <t>One queued session fails while later sessions continue</t>
        </is>
      </c>
      <c r="F91" s="25" t="inlineStr">
        <is>
          <t>Queue, Batch, and Concurrency</t>
        </is>
      </c>
      <c r="G91" s="9" t="inlineStr">
        <is>
          <t>P0</t>
        </is>
      </c>
      <c r="H91" s="24">
        <f>IFERROR(VLOOKUP($D91,'Test Cases'!$A:$X,24,FALSE),"")</f>
        <v/>
      </c>
    </row>
    <row r="92">
      <c r="A92" s="23" t="inlineStr">
        <is>
          <t>RQ-12</t>
        </is>
      </c>
      <c r="B92" s="25" t="inlineStr">
        <is>
          <t>4xx handling</t>
        </is>
      </c>
      <c r="C92" s="24" t="inlineStr">
        <is>
          <t>Needs confirmation</t>
        </is>
      </c>
      <c r="D92" s="23" t="inlineStr">
        <is>
          <t>SATE-BE-004</t>
        </is>
      </c>
      <c r="E92" s="25" t="inlineStr">
        <is>
          <t>AI service returns a non-retryable 4xx error</t>
        </is>
      </c>
      <c r="F92" s="25" t="inlineStr">
        <is>
          <t>Backend, Retry, and AI Processing</t>
        </is>
      </c>
      <c r="G92" s="9" t="inlineStr">
        <is>
          <t>P0</t>
        </is>
      </c>
      <c r="H92" s="24">
        <f>IFERROR(VLOOKUP($D92,'Test Cases'!$A:$X,24,FALSE),"")</f>
        <v/>
      </c>
    </row>
    <row r="93">
      <c r="A93" s="23" t="inlineStr">
        <is>
          <t>RQ-13</t>
        </is>
      </c>
      <c r="B93" s="25" t="inlineStr">
        <is>
          <t>Manual retry/reprocess</t>
        </is>
      </c>
      <c r="C93" s="24" t="inlineStr">
        <is>
          <t>Needs confirmation</t>
        </is>
      </c>
      <c r="D93" s="23" t="inlineStr">
        <is>
          <t>SATE-BE-003</t>
        </is>
      </c>
      <c r="E93" s="25" t="inlineStr">
        <is>
          <t>AI service returns 5xx on all three allowed attempts</t>
        </is>
      </c>
      <c r="F93" s="25" t="inlineStr">
        <is>
          <t>Backend, Retry, and AI Processing</t>
        </is>
      </c>
      <c r="G93" s="9" t="inlineStr">
        <is>
          <t>P0</t>
        </is>
      </c>
      <c r="H93" s="24">
        <f>IFERROR(VLOOKUP($D93,'Test Cases'!$A:$X,24,FALSE),"")</f>
        <v/>
      </c>
    </row>
    <row r="94">
      <c r="A94" s="23" t="inlineStr">
        <is>
          <t>RQ-13</t>
        </is>
      </c>
      <c r="B94" s="25" t="inlineStr">
        <is>
          <t>Manual retry/reprocess</t>
        </is>
      </c>
      <c r="C94" s="24" t="inlineStr">
        <is>
          <t>Needs confirmation</t>
        </is>
      </c>
      <c r="D94" s="23" t="inlineStr">
        <is>
          <t>SATE-BE-004</t>
        </is>
      </c>
      <c r="E94" s="25" t="inlineStr">
        <is>
          <t>AI service returns a non-retryable 4xx error</t>
        </is>
      </c>
      <c r="F94" s="25" t="inlineStr">
        <is>
          <t>Backend, Retry, and AI Processing</t>
        </is>
      </c>
      <c r="G94" s="9" t="inlineStr">
        <is>
          <t>P0</t>
        </is>
      </c>
      <c r="H94" s="24">
        <f>IFERROR(VLOOKUP($D94,'Test Cases'!$A:$X,24,FALSE),"")</f>
        <v/>
      </c>
    </row>
    <row r="95">
      <c r="A95" s="23" t="inlineStr">
        <is>
          <t>RQ-13</t>
        </is>
      </c>
      <c r="B95" s="25" t="inlineStr">
        <is>
          <t>Manual retry/reprocess</t>
        </is>
      </c>
      <c r="C95" s="24" t="inlineStr">
        <is>
          <t>Needs confirmation</t>
        </is>
      </c>
      <c r="D95" s="23" t="inlineStr">
        <is>
          <t>SATE-BE-010</t>
        </is>
      </c>
      <c r="E95" s="25" t="inlineStr">
        <is>
          <t>Cloudflare or Edge Function is temporarily unavailable</t>
        </is>
      </c>
      <c r="F95" s="25" t="inlineStr">
        <is>
          <t>Backend, Retry, and AI Processing</t>
        </is>
      </c>
      <c r="G95" s="9" t="inlineStr">
        <is>
          <t>P0</t>
        </is>
      </c>
      <c r="H95" s="24">
        <f>IFERROR(VLOOKUP($D95,'Test Cases'!$A:$X,24,FALSE),"")</f>
        <v/>
      </c>
    </row>
    <row r="96">
      <c r="A96" s="23" t="inlineStr">
        <is>
          <t>RQ-13</t>
        </is>
      </c>
      <c r="B96" s="25" t="inlineStr">
        <is>
          <t>Manual retry/reprocess</t>
        </is>
      </c>
      <c r="C96" s="24" t="inlineStr">
        <is>
          <t>Needs confirmation</t>
        </is>
      </c>
      <c r="D96" s="23" t="inlineStr">
        <is>
          <t>SATE-BE-012</t>
        </is>
      </c>
      <c r="E96" s="25" t="inlineStr">
        <is>
          <t>Manual reprocess after final processing failure</t>
        </is>
      </c>
      <c r="F96" s="25" t="inlineStr">
        <is>
          <t>Backend, Retry, and AI Processing</t>
        </is>
      </c>
      <c r="G96" s="9" t="inlineStr">
        <is>
          <t>P0</t>
        </is>
      </c>
      <c r="H96" s="24">
        <f>IFERROR(VLOOKUP($D96,'Test Cases'!$A:$X,24,FALSE),"")</f>
        <v/>
      </c>
    </row>
    <row r="97">
      <c r="A97" s="23" t="inlineStr">
        <is>
          <t>RQ-13</t>
        </is>
      </c>
      <c r="B97" s="25" t="inlineStr">
        <is>
          <t>Manual retry/reprocess</t>
        </is>
      </c>
      <c r="C97" s="24" t="inlineStr">
        <is>
          <t>Needs confirmation</t>
        </is>
      </c>
      <c r="D97" s="23" t="inlineStr">
        <is>
          <t>SATE-NET-010</t>
        </is>
      </c>
      <c r="E97" s="25" t="inlineStr">
        <is>
          <t>User taps manual Retry while automatic retry is already running</t>
        </is>
      </c>
      <c r="F97" s="25" t="inlineStr">
        <is>
          <t>Network, Offline, and Upload Recovery</t>
        </is>
      </c>
      <c r="G97" s="9" t="inlineStr">
        <is>
          <t>P0</t>
        </is>
      </c>
      <c r="H97" s="24">
        <f>IFERROR(VLOOKUP($D97,'Test Cases'!$A:$X,24,FALSE),"")</f>
        <v/>
      </c>
    </row>
    <row r="98">
      <c r="A98" s="23" t="inlineStr">
        <is>
          <t>RQ-13</t>
        </is>
      </c>
      <c r="B98" s="25" t="inlineStr">
        <is>
          <t>Manual retry/reprocess</t>
        </is>
      </c>
      <c r="C98" s="24" t="inlineStr">
        <is>
          <t>Needs confirmation</t>
        </is>
      </c>
      <c r="D98" s="23" t="inlineStr">
        <is>
          <t>SATE-PDF-005</t>
        </is>
      </c>
      <c r="E98" s="25" t="inlineStr">
        <is>
          <t>Export request for Processing, Partial, or Failed session</t>
        </is>
      </c>
      <c r="F98" s="25" t="inlineStr">
        <is>
          <t>PDF Export</t>
        </is>
      </c>
      <c r="G98" s="9" t="inlineStr">
        <is>
          <t>P1</t>
        </is>
      </c>
      <c r="H98" s="24">
        <f>IFERROR(VLOOKUP($D98,'Test Cases'!$A:$X,24,FALSE),"")</f>
        <v/>
      </c>
    </row>
    <row r="99">
      <c r="A99" s="23" t="inlineStr">
        <is>
          <t>RQ-13</t>
        </is>
      </c>
      <c r="B99" s="25" t="inlineStr">
        <is>
          <t>Manual retry/reprocess</t>
        </is>
      </c>
      <c r="C99" s="24" t="inlineStr">
        <is>
          <t>Needs confirmation</t>
        </is>
      </c>
      <c r="D99" s="23" t="inlineStr">
        <is>
          <t>SATE-QUE-004</t>
        </is>
      </c>
      <c r="E99" s="25" t="inlineStr">
        <is>
          <t>One queued session fails while later sessions continue</t>
        </is>
      </c>
      <c r="F99" s="25" t="inlineStr">
        <is>
          <t>Queue, Batch, and Concurrency</t>
        </is>
      </c>
      <c r="G99" s="9" t="inlineStr">
        <is>
          <t>P0</t>
        </is>
      </c>
      <c r="H99" s="24">
        <f>IFERROR(VLOOKUP($D99,'Test Cases'!$A:$X,24,FALSE),"")</f>
        <v/>
      </c>
    </row>
    <row r="100">
      <c r="A100" s="23" t="inlineStr">
        <is>
          <t>RQ-13</t>
        </is>
      </c>
      <c r="B100" s="25" t="inlineStr">
        <is>
          <t>Manual retry/reprocess</t>
        </is>
      </c>
      <c r="C100" s="24" t="inlineStr">
        <is>
          <t>Needs confirmation</t>
        </is>
      </c>
      <c r="D100" s="23" t="inlineStr">
        <is>
          <t>SATE-WEB-002</t>
        </is>
      </c>
      <c r="E100" s="25" t="inlineStr">
        <is>
          <t>Display of Processing, Retryable Failure, and Final Failure states</t>
        </is>
      </c>
      <c r="F100" s="25" t="inlineStr">
        <is>
          <t>Web Transcript Review</t>
        </is>
      </c>
      <c r="G100" s="9" t="inlineStr">
        <is>
          <t>P0</t>
        </is>
      </c>
      <c r="H100" s="24">
        <f>IFERROR(VLOOKUP($D100,'Test Cases'!$A:$X,24,FALSE),"")</f>
        <v/>
      </c>
    </row>
    <row r="101">
      <c r="A101" s="23" t="inlineStr">
        <is>
          <t>RQ-14</t>
        </is>
      </c>
      <c r="B101" s="25" t="inlineStr">
        <is>
          <t>AI result schema and partial results</t>
        </is>
      </c>
      <c r="C101" s="24" t="inlineStr">
        <is>
          <t>Required</t>
        </is>
      </c>
      <c r="D101" s="23" t="inlineStr">
        <is>
          <t>SATE-BE-006</t>
        </is>
      </c>
      <c r="E101" s="25" t="inlineStr">
        <is>
          <t>AI returns malformed JSON</t>
        </is>
      </c>
      <c r="F101" s="25" t="inlineStr">
        <is>
          <t>Backend, Retry, and AI Processing</t>
        </is>
      </c>
      <c r="G101" s="9" t="inlineStr">
        <is>
          <t>P0</t>
        </is>
      </c>
      <c r="H101" s="24">
        <f>IFERROR(VLOOKUP($D101,'Test Cases'!$A:$X,24,FALSE),"")</f>
        <v/>
      </c>
    </row>
    <row r="102">
      <c r="A102" s="23" t="inlineStr">
        <is>
          <t>RQ-14</t>
        </is>
      </c>
      <c r="B102" s="25" t="inlineStr">
        <is>
          <t>AI result schema and partial results</t>
        </is>
      </c>
      <c r="C102" s="24" t="inlineStr">
        <is>
          <t>Required</t>
        </is>
      </c>
      <c r="D102" s="23" t="inlineStr">
        <is>
          <t>SATE-BE-007</t>
        </is>
      </c>
      <c r="E102" s="25" t="inlineStr">
        <is>
          <t>AI returns valid JSON with missing or partial required fields</t>
        </is>
      </c>
      <c r="F102" s="25" t="inlineStr">
        <is>
          <t>Backend, Retry, and AI Processing</t>
        </is>
      </c>
      <c r="G102" s="9" t="inlineStr">
        <is>
          <t>P0</t>
        </is>
      </c>
      <c r="H102" s="24">
        <f>IFERROR(VLOOKUP($D102,'Test Cases'!$A:$X,24,FALSE),"")</f>
        <v/>
      </c>
    </row>
    <row r="103">
      <c r="A103" s="23" t="inlineStr">
        <is>
          <t>RQ-14</t>
        </is>
      </c>
      <c r="B103" s="25" t="inlineStr">
        <is>
          <t>AI result schema and partial results</t>
        </is>
      </c>
      <c r="C103" s="24" t="inlineStr">
        <is>
          <t>Required</t>
        </is>
      </c>
      <c r="D103" s="23" t="inlineStr">
        <is>
          <t>SATE-BE-008</t>
        </is>
      </c>
      <c r="E103" s="25" t="inlineStr">
        <is>
          <t>Duplicate AI callback or duplicate result submission</t>
        </is>
      </c>
      <c r="F103" s="25" t="inlineStr">
        <is>
          <t>Backend, Retry, and AI Processing</t>
        </is>
      </c>
      <c r="G103" s="9" t="inlineStr">
        <is>
          <t>P0</t>
        </is>
      </c>
      <c r="H103" s="24">
        <f>IFERROR(VLOOKUP($D103,'Test Cases'!$A:$X,24,FALSE),"")</f>
        <v/>
      </c>
    </row>
    <row r="104">
      <c r="A104" s="23" t="inlineStr">
        <is>
          <t>RQ-14</t>
        </is>
      </c>
      <c r="B104" s="25" t="inlineStr">
        <is>
          <t>AI result schema and partial results</t>
        </is>
      </c>
      <c r="C104" s="24" t="inlineStr">
        <is>
          <t>Required</t>
        </is>
      </c>
      <c r="D104" s="23" t="inlineStr">
        <is>
          <t>SATE-E2E-002</t>
        </is>
      </c>
      <c r="E104" s="25" t="inlineStr">
        <is>
          <t>Very short recording near the minimum supported duration</t>
        </is>
      </c>
      <c r="F104" s="25" t="inlineStr">
        <is>
          <t>End-to-End Recording and Sync</t>
        </is>
      </c>
      <c r="G104" s="9" t="inlineStr">
        <is>
          <t>P1</t>
        </is>
      </c>
      <c r="H104" s="24">
        <f>IFERROR(VLOOKUP($D104,'Test Cases'!$A:$X,24,FALSE),"")</f>
        <v/>
      </c>
    </row>
    <row r="105">
      <c r="A105" s="23" t="inlineStr">
        <is>
          <t>RQ-14</t>
        </is>
      </c>
      <c r="B105" s="25" t="inlineStr">
        <is>
          <t>AI result schema and partial results</t>
        </is>
      </c>
      <c r="C105" s="24" t="inlineStr">
        <is>
          <t>Required</t>
        </is>
      </c>
      <c r="D105" s="23" t="inlineStr">
        <is>
          <t>SATE-E2E-003</t>
        </is>
      </c>
      <c r="E105" s="25" t="inlineStr">
        <is>
          <t>Silent or near-silent recording</t>
        </is>
      </c>
      <c r="F105" s="25" t="inlineStr">
        <is>
          <t>End-to-End Recording and Sync</t>
        </is>
      </c>
      <c r="G105" s="9" t="inlineStr">
        <is>
          <t>P1</t>
        </is>
      </c>
      <c r="H105" s="24">
        <f>IFERROR(VLOOKUP($D105,'Test Cases'!$A:$X,24,FALSE),"")</f>
        <v/>
      </c>
    </row>
    <row r="106">
      <c r="A106" s="23" t="inlineStr">
        <is>
          <t>RQ-14</t>
        </is>
      </c>
      <c r="B106" s="25" t="inlineStr">
        <is>
          <t>AI result schema and partial results</t>
        </is>
      </c>
      <c r="C106" s="24" t="inlineStr">
        <is>
          <t>Required</t>
        </is>
      </c>
      <c r="D106" s="23" t="inlineStr">
        <is>
          <t>SATE-E2E-004</t>
        </is>
      </c>
      <c r="E106" s="25" t="inlineStr">
        <is>
          <t>Noisy recording with multiple speakers and interruptions</t>
        </is>
      </c>
      <c r="F106" s="25" t="inlineStr">
        <is>
          <t>End-to-End Recording and Sync</t>
        </is>
      </c>
      <c r="G106" s="9" t="inlineStr">
        <is>
          <t>P1</t>
        </is>
      </c>
      <c r="H106" s="24">
        <f>IFERROR(VLOOKUP($D106,'Test Cases'!$A:$X,24,FALSE),"")</f>
        <v/>
      </c>
    </row>
    <row r="107">
      <c r="A107" s="23" t="inlineStr">
        <is>
          <t>RQ-14</t>
        </is>
      </c>
      <c r="B107" s="25" t="inlineStr">
        <is>
          <t>AI result schema and partial results</t>
        </is>
      </c>
      <c r="C107" s="24" t="inlineStr">
        <is>
          <t>Required</t>
        </is>
      </c>
      <c r="D107" s="23" t="inlineStr">
        <is>
          <t>SATE-PDF-005</t>
        </is>
      </c>
      <c r="E107" s="25" t="inlineStr">
        <is>
          <t>Export request for Processing, Partial, or Failed session</t>
        </is>
      </c>
      <c r="F107" s="25" t="inlineStr">
        <is>
          <t>PDF Export</t>
        </is>
      </c>
      <c r="G107" s="9" t="inlineStr">
        <is>
          <t>P1</t>
        </is>
      </c>
      <c r="H107" s="24">
        <f>IFERROR(VLOOKUP($D107,'Test Cases'!$A:$X,24,FALSE),"")</f>
        <v/>
      </c>
    </row>
    <row r="108">
      <c r="A108" s="23" t="inlineStr">
        <is>
          <t>RQ-14</t>
        </is>
      </c>
      <c r="B108" s="25" t="inlineStr">
        <is>
          <t>AI result schema and partial results</t>
        </is>
      </c>
      <c r="C108" s="24" t="inlineStr">
        <is>
          <t>Required</t>
        </is>
      </c>
      <c r="D108" s="23" t="inlineStr">
        <is>
          <t>SATE-WEB-002</t>
        </is>
      </c>
      <c r="E108" s="25" t="inlineStr">
        <is>
          <t>Display of Processing, Retryable Failure, and Final Failure states</t>
        </is>
      </c>
      <c r="F108" s="25" t="inlineStr">
        <is>
          <t>Web Transcript Review</t>
        </is>
      </c>
      <c r="G108" s="9" t="inlineStr">
        <is>
          <t>P0</t>
        </is>
      </c>
      <c r="H108" s="24">
        <f>IFERROR(VLOOKUP($D108,'Test Cases'!$A:$X,24,FALSE),"")</f>
        <v/>
      </c>
    </row>
    <row r="109">
      <c r="A109" s="23" t="inlineStr">
        <is>
          <t>RQ-15</t>
        </is>
      </c>
      <c r="B109" s="25" t="inlineStr">
        <is>
          <t>Transcript editing and versioning</t>
        </is>
      </c>
      <c r="C109" s="24" t="inlineStr">
        <is>
          <t>Needs confirmation</t>
        </is>
      </c>
      <c r="D109" s="23" t="inlineStr">
        <is>
          <t>SATE-PDF-004</t>
        </is>
      </c>
      <c r="E109" s="25" t="inlineStr">
        <is>
          <t>Re-export after transcript edits</t>
        </is>
      </c>
      <c r="F109" s="25" t="inlineStr">
        <is>
          <t>PDF Export</t>
        </is>
      </c>
      <c r="G109" s="9" t="inlineStr">
        <is>
          <t>P0</t>
        </is>
      </c>
      <c r="H109" s="24">
        <f>IFERROR(VLOOKUP($D109,'Test Cases'!$A:$X,24,FALSE),"")</f>
        <v/>
      </c>
    </row>
    <row r="110">
      <c r="A110" s="23" t="inlineStr">
        <is>
          <t>RQ-15</t>
        </is>
      </c>
      <c r="B110" s="25" t="inlineStr">
        <is>
          <t>Transcript editing and versioning</t>
        </is>
      </c>
      <c r="C110" s="24" t="inlineStr">
        <is>
          <t>Needs confirmation</t>
        </is>
      </c>
      <c r="D110" s="23" t="inlineStr">
        <is>
          <t>SATE-WEB-001</t>
        </is>
      </c>
      <c r="E110" s="25" t="inlineStr">
        <is>
          <t>Open and review a completed transcript</t>
        </is>
      </c>
      <c r="F110" s="25" t="inlineStr">
        <is>
          <t>Web Transcript Review</t>
        </is>
      </c>
      <c r="G110" s="9" t="inlineStr">
        <is>
          <t>P0</t>
        </is>
      </c>
      <c r="H110" s="24">
        <f>IFERROR(VLOOKUP($D110,'Test Cases'!$A:$X,24,FALSE),"")</f>
        <v/>
      </c>
    </row>
    <row r="111">
      <c r="A111" s="23" t="inlineStr">
        <is>
          <t>RQ-15</t>
        </is>
      </c>
      <c r="B111" s="25" t="inlineStr">
        <is>
          <t>Transcript editing and versioning</t>
        </is>
      </c>
      <c r="C111" s="24" t="inlineStr">
        <is>
          <t>Needs confirmation</t>
        </is>
      </c>
      <c r="D111" s="23" t="inlineStr">
        <is>
          <t>SATE-WEB-003</t>
        </is>
      </c>
      <c r="E111" s="25" t="inlineStr">
        <is>
          <t>Refresh, browser Back/Forward, and multiple tabs</t>
        </is>
      </c>
      <c r="F111" s="25" t="inlineStr">
        <is>
          <t>Web Transcript Review</t>
        </is>
      </c>
      <c r="G111" s="9" t="inlineStr">
        <is>
          <t>P1</t>
        </is>
      </c>
      <c r="H111" s="24">
        <f>IFERROR(VLOOKUP($D111,'Test Cases'!$A:$X,24,FALSE),"")</f>
        <v/>
      </c>
    </row>
    <row r="112">
      <c r="A112" s="23" t="inlineStr">
        <is>
          <t>RQ-15</t>
        </is>
      </c>
      <c r="B112" s="25" t="inlineStr">
        <is>
          <t>Transcript editing and versioning</t>
        </is>
      </c>
      <c r="C112" s="24" t="inlineStr">
        <is>
          <t>Needs confirmation</t>
        </is>
      </c>
      <c r="D112" s="23" t="inlineStr">
        <is>
          <t>SATE-WEB-004</t>
        </is>
      </c>
      <c r="E112" s="25" t="inlineStr">
        <is>
          <t>Audio playback and transcript association</t>
        </is>
      </c>
      <c r="F112" s="25" t="inlineStr">
        <is>
          <t>Web Transcript Review</t>
        </is>
      </c>
      <c r="G112" s="9" t="inlineStr">
        <is>
          <t>P0</t>
        </is>
      </c>
      <c r="H112" s="24">
        <f>IFERROR(VLOOKUP($D112,'Test Cases'!$A:$X,24,FALSE),"")</f>
        <v/>
      </c>
    </row>
    <row r="113">
      <c r="A113" s="23" t="inlineStr">
        <is>
          <t>RQ-15</t>
        </is>
      </c>
      <c r="B113" s="25" t="inlineStr">
        <is>
          <t>Transcript editing and versioning</t>
        </is>
      </c>
      <c r="C113" s="24" t="inlineStr">
        <is>
          <t>Needs confirmation</t>
        </is>
      </c>
      <c r="D113" s="23" t="inlineStr">
        <is>
          <t>SATE-WEB-005</t>
        </is>
      </c>
      <c r="E113" s="25" t="inlineStr">
        <is>
          <t>Edit and save transcript with versioning</t>
        </is>
      </c>
      <c r="F113" s="25" t="inlineStr">
        <is>
          <t>Web Transcript Review</t>
        </is>
      </c>
      <c r="G113" s="9" t="inlineStr">
        <is>
          <t>P0</t>
        </is>
      </c>
      <c r="H113" s="24">
        <f>IFERROR(VLOOKUP($D113,'Test Cases'!$A:$X,24,FALSE),"")</f>
        <v/>
      </c>
    </row>
    <row r="114">
      <c r="A114" s="23" t="inlineStr">
        <is>
          <t>RQ-15</t>
        </is>
      </c>
      <c r="B114" s="25" t="inlineStr">
        <is>
          <t>Transcript editing and versioning</t>
        </is>
      </c>
      <c r="C114" s="24" t="inlineStr">
        <is>
          <t>Needs confirmation</t>
        </is>
      </c>
      <c r="D114" s="23" t="inlineStr">
        <is>
          <t>SATE-WEB-006</t>
        </is>
      </c>
      <c r="E114" s="25" t="inlineStr">
        <is>
          <t>Save failure and concurrent transcript editing</t>
        </is>
      </c>
      <c r="F114" s="25" t="inlineStr">
        <is>
          <t>Web Transcript Review</t>
        </is>
      </c>
      <c r="G114" s="9" t="inlineStr">
        <is>
          <t>P0</t>
        </is>
      </c>
      <c r="H114" s="24">
        <f>IFERROR(VLOOKUP($D114,'Test Cases'!$A:$X,24,FALSE),"")</f>
        <v/>
      </c>
    </row>
    <row r="115">
      <c r="A115" s="23" t="inlineStr">
        <is>
          <t>RQ-15</t>
        </is>
      </c>
      <c r="B115" s="25" t="inlineStr">
        <is>
          <t>Transcript editing and versioning</t>
        </is>
      </c>
      <c r="C115" s="24" t="inlineStr">
        <is>
          <t>Needs confirmation</t>
        </is>
      </c>
      <c r="D115" s="23" t="inlineStr">
        <is>
          <t>SATE-WEB-007</t>
        </is>
      </c>
      <c r="E115" s="25" t="inlineStr">
        <is>
          <t>Long transcript and special characters</t>
        </is>
      </c>
      <c r="F115" s="25" t="inlineStr">
        <is>
          <t>Web Transcript Review</t>
        </is>
      </c>
      <c r="G115" s="9" t="inlineStr">
        <is>
          <t>P1</t>
        </is>
      </c>
      <c r="H115" s="24">
        <f>IFERROR(VLOOKUP($D115,'Test Cases'!$A:$X,24,FALSE),"")</f>
        <v/>
      </c>
    </row>
    <row r="116">
      <c r="A116" s="23" t="inlineStr">
        <is>
          <t>RQ-16</t>
        </is>
      </c>
      <c r="B116" s="25" t="inlineStr">
        <is>
          <t>PDF source and version</t>
        </is>
      </c>
      <c r="C116" s="24" t="inlineStr">
        <is>
          <t>Required</t>
        </is>
      </c>
      <c r="D116" s="23" t="inlineStr">
        <is>
          <t>SATE-E2E-001</t>
        </is>
      </c>
      <c r="E116" s="25" t="inlineStr">
        <is>
          <t>Standard online recording, upload, processing, review, and PDF export</t>
        </is>
      </c>
      <c r="F116" s="25" t="inlineStr">
        <is>
          <t>End-to-End Recording and Sync</t>
        </is>
      </c>
      <c r="G116" s="9" t="inlineStr">
        <is>
          <t>P0</t>
        </is>
      </c>
      <c r="H116" s="24">
        <f>IFERROR(VLOOKUP($D116,'Test Cases'!$A:$X,24,FALSE),"")</f>
        <v/>
      </c>
    </row>
    <row r="117">
      <c r="A117" s="23" t="inlineStr">
        <is>
          <t>RQ-16</t>
        </is>
      </c>
      <c r="B117" s="25" t="inlineStr">
        <is>
          <t>PDF source and version</t>
        </is>
      </c>
      <c r="C117" s="24" t="inlineStr">
        <is>
          <t>Required</t>
        </is>
      </c>
      <c r="D117" s="23" t="inlineStr">
        <is>
          <t>SATE-PDF-001</t>
        </is>
      </c>
      <c r="E117" s="25" t="inlineStr">
        <is>
          <t>Standard SATE report export</t>
        </is>
      </c>
      <c r="F117" s="25" t="inlineStr">
        <is>
          <t>PDF Export</t>
        </is>
      </c>
      <c r="G117" s="9" t="inlineStr">
        <is>
          <t>P0</t>
        </is>
      </c>
      <c r="H117" s="24">
        <f>IFERROR(VLOOKUP($D117,'Test Cases'!$A:$X,24,FALSE),"")</f>
        <v/>
      </c>
    </row>
    <row r="118">
      <c r="A118" s="23" t="inlineStr">
        <is>
          <t>RQ-16</t>
        </is>
      </c>
      <c r="B118" s="25" t="inlineStr">
        <is>
          <t>PDF source and version</t>
        </is>
      </c>
      <c r="C118" s="24" t="inlineStr">
        <is>
          <t>Required</t>
        </is>
      </c>
      <c r="D118" s="23" t="inlineStr">
        <is>
          <t>SATE-PDF-002</t>
        </is>
      </c>
      <c r="E118" s="25" t="inlineStr">
        <is>
          <t>Long-session report pagination</t>
        </is>
      </c>
      <c r="F118" s="25" t="inlineStr">
        <is>
          <t>PDF Export</t>
        </is>
      </c>
      <c r="G118" s="9" t="inlineStr">
        <is>
          <t>P0</t>
        </is>
      </c>
      <c r="H118" s="24">
        <f>IFERROR(VLOOKUP($D118,'Test Cases'!$A:$X,24,FALSE),"")</f>
        <v/>
      </c>
    </row>
    <row r="119">
      <c r="A119" s="23" t="inlineStr">
        <is>
          <t>RQ-16</t>
        </is>
      </c>
      <c r="B119" s="25" t="inlineStr">
        <is>
          <t>PDF source and version</t>
        </is>
      </c>
      <c r="C119" s="24" t="inlineStr">
        <is>
          <t>Required</t>
        </is>
      </c>
      <c r="D119" s="23" t="inlineStr">
        <is>
          <t>SATE-PDF-003</t>
        </is>
      </c>
      <c r="E119" s="25" t="inlineStr">
        <is>
          <t>Special characters and Unicode in PDF</t>
        </is>
      </c>
      <c r="F119" s="25" t="inlineStr">
        <is>
          <t>PDF Export</t>
        </is>
      </c>
      <c r="G119" s="9" t="inlineStr">
        <is>
          <t>P1</t>
        </is>
      </c>
      <c r="H119" s="24">
        <f>IFERROR(VLOOKUP($D119,'Test Cases'!$A:$X,24,FALSE),"")</f>
        <v/>
      </c>
    </row>
    <row r="120">
      <c r="A120" s="23" t="inlineStr">
        <is>
          <t>RQ-16</t>
        </is>
      </c>
      <c r="B120" s="25" t="inlineStr">
        <is>
          <t>PDF source and version</t>
        </is>
      </c>
      <c r="C120" s="24" t="inlineStr">
        <is>
          <t>Required</t>
        </is>
      </c>
      <c r="D120" s="23" t="inlineStr">
        <is>
          <t>SATE-PDF-004</t>
        </is>
      </c>
      <c r="E120" s="25" t="inlineStr">
        <is>
          <t>Re-export after transcript edits</t>
        </is>
      </c>
      <c r="F120" s="25" t="inlineStr">
        <is>
          <t>PDF Export</t>
        </is>
      </c>
      <c r="G120" s="9" t="inlineStr">
        <is>
          <t>P0</t>
        </is>
      </c>
      <c r="H120" s="24">
        <f>IFERROR(VLOOKUP($D120,'Test Cases'!$A:$X,24,FALSE),"")</f>
        <v/>
      </c>
    </row>
    <row r="121">
      <c r="A121" s="23" t="inlineStr">
        <is>
          <t>RQ-16</t>
        </is>
      </c>
      <c r="B121" s="25" t="inlineStr">
        <is>
          <t>PDF source and version</t>
        </is>
      </c>
      <c r="C121" s="24" t="inlineStr">
        <is>
          <t>Required</t>
        </is>
      </c>
      <c r="D121" s="23" t="inlineStr">
        <is>
          <t>SATE-PDF-005</t>
        </is>
      </c>
      <c r="E121" s="25" t="inlineStr">
        <is>
          <t>Export request for Processing, Partial, or Failed session</t>
        </is>
      </c>
      <c r="F121" s="25" t="inlineStr">
        <is>
          <t>PDF Export</t>
        </is>
      </c>
      <c r="G121" s="9" t="inlineStr">
        <is>
          <t>P1</t>
        </is>
      </c>
      <c r="H121" s="24">
        <f>IFERROR(VLOOKUP($D121,'Test Cases'!$A:$X,24,FALSE),"")</f>
        <v/>
      </c>
    </row>
    <row r="122">
      <c r="A122" s="23" t="inlineStr">
        <is>
          <t>RQ-16</t>
        </is>
      </c>
      <c r="B122" s="25" t="inlineStr">
        <is>
          <t>PDF source and version</t>
        </is>
      </c>
      <c r="C122" s="24" t="inlineStr">
        <is>
          <t>Required</t>
        </is>
      </c>
      <c r="D122" s="23" t="inlineStr">
        <is>
          <t>SATE-PDF-006</t>
        </is>
      </c>
      <c r="E122" s="25" t="inlineStr">
        <is>
          <t>PDF file name, metadata, time zone, repeated export, and access</t>
        </is>
      </c>
      <c r="F122" s="25" t="inlineStr">
        <is>
          <t>PDF Export</t>
        </is>
      </c>
      <c r="G122" s="9" t="inlineStr">
        <is>
          <t>P1</t>
        </is>
      </c>
      <c r="H122" s="24">
        <f>IFERROR(VLOOKUP($D122,'Test Cases'!$A:$X,24,FALSE),"")</f>
        <v/>
      </c>
    </row>
    <row r="123">
      <c r="A123" s="23" t="inlineStr">
        <is>
          <t>RQ-16</t>
        </is>
      </c>
      <c r="B123" s="25" t="inlineStr">
        <is>
          <t>PDF source and version</t>
        </is>
      </c>
      <c r="C123" s="24" t="inlineStr">
        <is>
          <t>Required</t>
        </is>
      </c>
      <c r="D123" s="23" t="inlineStr">
        <is>
          <t>SATE-WEB-005</t>
        </is>
      </c>
      <c r="E123" s="25" t="inlineStr">
        <is>
          <t>Edit and save transcript with versioning</t>
        </is>
      </c>
      <c r="F123" s="25" t="inlineStr">
        <is>
          <t>Web Transcript Review</t>
        </is>
      </c>
      <c r="G123" s="9" t="inlineStr">
        <is>
          <t>P0</t>
        </is>
      </c>
      <c r="H123" s="24">
        <f>IFERROR(VLOOKUP($D123,'Test Cases'!$A:$X,24,FALSE),"")</f>
        <v/>
      </c>
    </row>
    <row r="124">
      <c r="A124" s="23" t="inlineStr">
        <is>
          <t>RQ-17</t>
        </is>
      </c>
      <c r="B124" s="25" t="inlineStr">
        <is>
          <t>Roles and data isolation</t>
        </is>
      </c>
      <c r="C124" s="24" t="inlineStr">
        <is>
          <t>Required</t>
        </is>
      </c>
      <c r="D124" s="23" t="inlineStr">
        <is>
          <t>SATE-APP-005</t>
        </is>
      </c>
      <c r="E124" s="25" t="inlineStr">
        <is>
          <t>Authentication token expires during upload or processing</t>
        </is>
      </c>
      <c r="F124" s="25" t="inlineStr">
        <is>
          <t>Mobile App Lifecycle and Authentication</t>
        </is>
      </c>
      <c r="G124" s="9" t="inlineStr">
        <is>
          <t>P0</t>
        </is>
      </c>
      <c r="H124" s="24">
        <f>IFERROR(VLOOKUP($D124,'Test Cases'!$A:$X,24,FALSE),"")</f>
        <v/>
      </c>
    </row>
    <row r="125">
      <c r="A125" s="23" t="inlineStr">
        <is>
          <t>RQ-17</t>
        </is>
      </c>
      <c r="B125" s="25" t="inlineStr">
        <is>
          <t>Roles and data isolation</t>
        </is>
      </c>
      <c r="C125" s="24" t="inlineStr">
        <is>
          <t>Required</t>
        </is>
      </c>
      <c r="D125" s="23" t="inlineStr">
        <is>
          <t>SATE-APP-006</t>
        </is>
      </c>
      <c r="E125" s="25" t="inlineStr">
        <is>
          <t>User logs out while sessions are pending upload</t>
        </is>
      </c>
      <c r="F125" s="25" t="inlineStr">
        <is>
          <t>Mobile App Lifecycle and Authentication</t>
        </is>
      </c>
      <c r="G125" s="9" t="inlineStr">
        <is>
          <t>P0</t>
        </is>
      </c>
      <c r="H125" s="24">
        <f>IFERROR(VLOOKUP($D125,'Test Cases'!$A:$X,24,FALSE),"")</f>
        <v/>
      </c>
    </row>
    <row r="126">
      <c r="A126" s="23" t="inlineStr">
        <is>
          <t>RQ-17</t>
        </is>
      </c>
      <c r="B126" s="25" t="inlineStr">
        <is>
          <t>Roles and data isolation</t>
        </is>
      </c>
      <c r="C126" s="24" t="inlineStr">
        <is>
          <t>Required</t>
        </is>
      </c>
      <c r="D126" s="23" t="inlineStr">
        <is>
          <t>SATE-APP-007</t>
        </is>
      </c>
      <c r="E126" s="25" t="inlineStr">
        <is>
          <t>Different user logs in while prior user's session remains pending</t>
        </is>
      </c>
      <c r="F126" s="25" t="inlineStr">
        <is>
          <t>Mobile App Lifecycle and Authentication</t>
        </is>
      </c>
      <c r="G126" s="9" t="inlineStr">
        <is>
          <t>P0</t>
        </is>
      </c>
      <c r="H126" s="24">
        <f>IFERROR(VLOOKUP($D126,'Test Cases'!$A:$X,24,FALSE),"")</f>
        <v/>
      </c>
    </row>
    <row r="127">
      <c r="A127" s="23" t="inlineStr">
        <is>
          <t>RQ-17</t>
        </is>
      </c>
      <c r="B127" s="25" t="inlineStr">
        <is>
          <t>Roles and data isolation</t>
        </is>
      </c>
      <c r="C127" s="24" t="inlineStr">
        <is>
          <t>Required</t>
        </is>
      </c>
      <c r="D127" s="23" t="inlineStr">
        <is>
          <t>SATE-BLE-001</t>
        </is>
      </c>
      <c r="E127" s="25" t="inlineStr">
        <is>
          <t>First-time BLE pairing and device assignment</t>
        </is>
      </c>
      <c r="F127" s="25" t="inlineStr">
        <is>
          <t>BLE and Device Connectivity</t>
        </is>
      </c>
      <c r="G127" s="9" t="inlineStr">
        <is>
          <t>P0</t>
        </is>
      </c>
      <c r="H127" s="24">
        <f>IFERROR(VLOOKUP($D127,'Test Cases'!$A:$X,24,FALSE),"")</f>
        <v/>
      </c>
    </row>
    <row r="128">
      <c r="A128" s="23" t="inlineStr">
        <is>
          <t>RQ-17</t>
        </is>
      </c>
      <c r="B128" s="25" t="inlineStr">
        <is>
          <t>Roles and data isolation</t>
        </is>
      </c>
      <c r="C128" s="24" t="inlineStr">
        <is>
          <t>Required</t>
        </is>
      </c>
      <c r="D128" s="23" t="inlineStr">
        <is>
          <t>SATE-BLE-003</t>
        </is>
      </c>
      <c r="E128" s="25" t="inlineStr">
        <is>
          <t>User selects the wrong BLE device</t>
        </is>
      </c>
      <c r="F128" s="25" t="inlineStr">
        <is>
          <t>BLE and Device Connectivity</t>
        </is>
      </c>
      <c r="G128" s="9" t="inlineStr">
        <is>
          <t>P1</t>
        </is>
      </c>
      <c r="H128" s="24">
        <f>IFERROR(VLOOKUP($D128,'Test Cases'!$A:$X,24,FALSE),"")</f>
        <v/>
      </c>
    </row>
    <row r="129">
      <c r="A129" s="23" t="inlineStr">
        <is>
          <t>RQ-17</t>
        </is>
      </c>
      <c r="B129" s="25" t="inlineStr">
        <is>
          <t>Roles and data isolation</t>
        </is>
      </c>
      <c r="C129" s="24" t="inlineStr">
        <is>
          <t>Required</t>
        </is>
      </c>
      <c r="D129" s="23" t="inlineStr">
        <is>
          <t>SATE-PDF-001</t>
        </is>
      </c>
      <c r="E129" s="25" t="inlineStr">
        <is>
          <t>Standard SATE report export</t>
        </is>
      </c>
      <c r="F129" s="25" t="inlineStr">
        <is>
          <t>PDF Export</t>
        </is>
      </c>
      <c r="G129" s="9" t="inlineStr">
        <is>
          <t>P0</t>
        </is>
      </c>
      <c r="H129" s="24">
        <f>IFERROR(VLOOKUP($D129,'Test Cases'!$A:$X,24,FALSE),"")</f>
        <v/>
      </c>
    </row>
    <row r="130">
      <c r="A130" s="23" t="inlineStr">
        <is>
          <t>RQ-17</t>
        </is>
      </c>
      <c r="B130" s="25" t="inlineStr">
        <is>
          <t>Roles and data isolation</t>
        </is>
      </c>
      <c r="C130" s="24" t="inlineStr">
        <is>
          <t>Required</t>
        </is>
      </c>
      <c r="D130" s="23" t="inlineStr">
        <is>
          <t>SATE-PDF-006</t>
        </is>
      </c>
      <c r="E130" s="25" t="inlineStr">
        <is>
          <t>PDF file name, metadata, time zone, repeated export, and access</t>
        </is>
      </c>
      <c r="F130" s="25" t="inlineStr">
        <is>
          <t>PDF Export</t>
        </is>
      </c>
      <c r="G130" s="9" t="inlineStr">
        <is>
          <t>P1</t>
        </is>
      </c>
      <c r="H130" s="24">
        <f>IFERROR(VLOOKUP($D130,'Test Cases'!$A:$X,24,FALSE),"")</f>
        <v/>
      </c>
    </row>
    <row r="131">
      <c r="A131" s="23" t="inlineStr">
        <is>
          <t>RQ-17</t>
        </is>
      </c>
      <c r="B131" s="25" t="inlineStr">
        <is>
          <t>Roles and data isolation</t>
        </is>
      </c>
      <c r="C131" s="24" t="inlineStr">
        <is>
          <t>Required</t>
        </is>
      </c>
      <c r="D131" s="23" t="inlineStr">
        <is>
          <t>SATE-SEC-001</t>
        </is>
      </c>
      <c r="E131" s="25" t="inlineStr">
        <is>
          <t>User A cannot view User B's session through normal navigation</t>
        </is>
      </c>
      <c r="F131" s="25" t="inlineStr">
        <is>
          <t>Security, Privacy, and Data Isolation</t>
        </is>
      </c>
      <c r="G131" s="9" t="inlineStr">
        <is>
          <t>P0</t>
        </is>
      </c>
      <c r="H131" s="24">
        <f>IFERROR(VLOOKUP($D131,'Test Cases'!$A:$X,24,FALSE),"")</f>
        <v/>
      </c>
    </row>
    <row r="132">
      <c r="A132" s="23" t="inlineStr">
        <is>
          <t>RQ-17</t>
        </is>
      </c>
      <c r="B132" s="25" t="inlineStr">
        <is>
          <t>Roles and data isolation</t>
        </is>
      </c>
      <c r="C132" s="24" t="inlineStr">
        <is>
          <t>Required</t>
        </is>
      </c>
      <c r="D132" s="23" t="inlineStr">
        <is>
          <t>SATE-SEC-002</t>
        </is>
      </c>
      <c r="E132" s="25" t="inlineStr">
        <is>
          <t>Direct URL or session-ID manipulation</t>
        </is>
      </c>
      <c r="F132" s="25" t="inlineStr">
        <is>
          <t>Security, Privacy, and Data Isolation</t>
        </is>
      </c>
      <c r="G132" s="9" t="inlineStr">
        <is>
          <t>P0</t>
        </is>
      </c>
      <c r="H132" s="24">
        <f>IFERROR(VLOOKUP($D132,'Test Cases'!$A:$X,24,FALSE),"")</f>
        <v/>
      </c>
    </row>
    <row r="133">
      <c r="A133" s="23" t="inlineStr">
        <is>
          <t>RQ-17</t>
        </is>
      </c>
      <c r="B133" s="25" t="inlineStr">
        <is>
          <t>Roles and data isolation</t>
        </is>
      </c>
      <c r="C133" s="24" t="inlineStr">
        <is>
          <t>Required</t>
        </is>
      </c>
      <c r="D133" s="23" t="inlineStr">
        <is>
          <t>SATE-SEC-003</t>
        </is>
      </c>
      <c r="E133" s="25" t="inlineStr">
        <is>
          <t>Logout and token invalidation</t>
        </is>
      </c>
      <c r="F133" s="25" t="inlineStr">
        <is>
          <t>Security, Privacy, and Data Isolation</t>
        </is>
      </c>
      <c r="G133" s="9" t="inlineStr">
        <is>
          <t>P0</t>
        </is>
      </c>
      <c r="H133" s="24">
        <f>IFERROR(VLOOKUP($D133,'Test Cases'!$A:$X,24,FALSE),"")</f>
        <v/>
      </c>
    </row>
    <row r="134">
      <c r="A134" s="23" t="inlineStr">
        <is>
          <t>RQ-17</t>
        </is>
      </c>
      <c r="B134" s="25" t="inlineStr">
        <is>
          <t>Roles and data isolation</t>
        </is>
      </c>
      <c r="C134" s="24" t="inlineStr">
        <is>
          <t>Required</t>
        </is>
      </c>
      <c r="D134" s="23" t="inlineStr">
        <is>
          <t>SATE-SEC-004</t>
        </is>
      </c>
      <c r="E134" s="25" t="inlineStr">
        <is>
          <t>Pending local session remains isolated during account switch</t>
        </is>
      </c>
      <c r="F134" s="25" t="inlineStr">
        <is>
          <t>Security, Privacy, and Data Isolation</t>
        </is>
      </c>
      <c r="G134" s="9" t="inlineStr">
        <is>
          <t>P0</t>
        </is>
      </c>
      <c r="H134" s="24">
        <f>IFERROR(VLOOKUP($D134,'Test Cases'!$A:$X,24,FALSE),"")</f>
        <v/>
      </c>
    </row>
    <row r="135">
      <c r="A135" s="23" t="inlineStr">
        <is>
          <t>RQ-17</t>
        </is>
      </c>
      <c r="B135" s="25" t="inlineStr">
        <is>
          <t>Roles and data isolation</t>
        </is>
      </c>
      <c r="C135" s="24" t="inlineStr">
        <is>
          <t>Required</t>
        </is>
      </c>
      <c r="D135" s="23" t="inlineStr">
        <is>
          <t>SATE-SEC-005</t>
        </is>
      </c>
      <c r="E135" s="25" t="inlineStr">
        <is>
          <t>Role-based access to review, edit, export, retry, and administration</t>
        </is>
      </c>
      <c r="F135" s="25" t="inlineStr">
        <is>
          <t>Security, Privacy, and Data Isolation</t>
        </is>
      </c>
      <c r="G135" s="9" t="inlineStr">
        <is>
          <t>P0</t>
        </is>
      </c>
      <c r="H135" s="24">
        <f>IFERROR(VLOOKUP($D135,'Test Cases'!$A:$X,24,FALSE),"")</f>
        <v/>
      </c>
    </row>
    <row r="136">
      <c r="A136" s="23" t="inlineStr">
        <is>
          <t>RQ-17</t>
        </is>
      </c>
      <c r="B136" s="25" t="inlineStr">
        <is>
          <t>Roles and data isolation</t>
        </is>
      </c>
      <c r="C136" s="24" t="inlineStr">
        <is>
          <t>Required</t>
        </is>
      </c>
      <c r="D136" s="23" t="inlineStr">
        <is>
          <t>SATE-SEC-006</t>
        </is>
      </c>
      <c r="E136" s="25" t="inlineStr">
        <is>
          <t>Signed audio/report URL expiry and sharing</t>
        </is>
      </c>
      <c r="F136" s="25" t="inlineStr">
        <is>
          <t>Security, Privacy, and Data Isolation</t>
        </is>
      </c>
      <c r="G136" s="9" t="inlineStr">
        <is>
          <t>P0</t>
        </is>
      </c>
      <c r="H136" s="24">
        <f>IFERROR(VLOOKUP($D136,'Test Cases'!$A:$X,24,FALSE),"")</f>
        <v/>
      </c>
    </row>
    <row r="137">
      <c r="A137" s="23" t="inlineStr">
        <is>
          <t>RQ-17</t>
        </is>
      </c>
      <c r="B137" s="25" t="inlineStr">
        <is>
          <t>Roles and data isolation</t>
        </is>
      </c>
      <c r="C137" s="24" t="inlineStr">
        <is>
          <t>Required</t>
        </is>
      </c>
      <c r="D137" s="23" t="inlineStr">
        <is>
          <t>SATE-WEB-001</t>
        </is>
      </c>
      <c r="E137" s="25" t="inlineStr">
        <is>
          <t>Open and review a completed transcript</t>
        </is>
      </c>
      <c r="F137" s="25" t="inlineStr">
        <is>
          <t>Web Transcript Review</t>
        </is>
      </c>
      <c r="G137" s="9" t="inlineStr">
        <is>
          <t>P0</t>
        </is>
      </c>
      <c r="H137" s="24">
        <f>IFERROR(VLOOKUP($D137,'Test Cases'!$A:$X,24,FALSE),"")</f>
        <v/>
      </c>
    </row>
    <row r="138">
      <c r="A138" s="23" t="inlineStr">
        <is>
          <t>RQ-18</t>
        </is>
      </c>
      <c r="B138" s="25" t="inlineStr">
        <is>
          <t>Deletion and retention</t>
        </is>
      </c>
      <c r="C138" s="24" t="inlineStr">
        <is>
          <t>Required</t>
        </is>
      </c>
      <c r="D138" s="23" t="inlineStr">
        <is>
          <t>SATE-SEC-007</t>
        </is>
      </c>
      <c r="E138" s="25" t="inlineStr">
        <is>
          <t>Deletion, retention, audit trail, and sensitive logging</t>
        </is>
      </c>
      <c r="F138" s="25" t="inlineStr">
        <is>
          <t>Security, Privacy, and Data Isolation</t>
        </is>
      </c>
      <c r="G138" s="9" t="inlineStr">
        <is>
          <t>P0</t>
        </is>
      </c>
      <c r="H138" s="24">
        <f>IFERROR(VLOOKUP($D138,'Test Cases'!$A:$X,24,FALSE),"")</f>
        <v/>
      </c>
    </row>
    <row r="139">
      <c r="A139" s="23" t="inlineStr">
        <is>
          <t>RQ-19</t>
        </is>
      </c>
      <c r="B139" s="25" t="inlineStr">
        <is>
          <t>Supported platform matrix</t>
        </is>
      </c>
      <c r="C139" s="24" t="inlineStr">
        <is>
          <t>Required</t>
        </is>
      </c>
      <c r="D139" s="23" t="inlineStr">
        <is>
          <t>SATE-APP-001</t>
        </is>
      </c>
      <c r="E139" s="25" t="inlineStr">
        <is>
          <t>App moves to background during an active recording</t>
        </is>
      </c>
      <c r="F139" s="25" t="inlineStr">
        <is>
          <t>Mobile App Lifecycle and Authentication</t>
        </is>
      </c>
      <c r="G139" s="9" t="inlineStr">
        <is>
          <t>P0</t>
        </is>
      </c>
      <c r="H139" s="24">
        <f>IFERROR(VLOOKUP($D139,'Test Cases'!$A:$X,24,FALSE),"")</f>
        <v/>
      </c>
    </row>
    <row r="140">
      <c r="A140" s="23" t="inlineStr">
        <is>
          <t>RQ-19</t>
        </is>
      </c>
      <c r="B140" s="25" t="inlineStr">
        <is>
          <t>Supported platform matrix</t>
        </is>
      </c>
      <c r="C140" s="24" t="inlineStr">
        <is>
          <t>Required</t>
        </is>
      </c>
      <c r="D140" s="23" t="inlineStr">
        <is>
          <t>SATE-APP-008</t>
        </is>
      </c>
      <c r="E140" s="25" t="inlineStr">
        <is>
          <t>App update or reinstall when unsynced sessions exist</t>
        </is>
      </c>
      <c r="F140" s="25" t="inlineStr">
        <is>
          <t>Mobile App Lifecycle and Authentication</t>
        </is>
      </c>
      <c r="G140" s="9" t="inlineStr">
        <is>
          <t>P1</t>
        </is>
      </c>
      <c r="H140" s="24">
        <f>IFERROR(VLOOKUP($D140,'Test Cases'!$A:$X,24,FALSE),"")</f>
        <v/>
      </c>
    </row>
    <row r="141">
      <c r="A141" s="23" t="inlineStr">
        <is>
          <t>RQ-19</t>
        </is>
      </c>
      <c r="B141" s="25" t="inlineStr">
        <is>
          <t>Supported platform matrix</t>
        </is>
      </c>
      <c r="C141" s="24" t="inlineStr">
        <is>
          <t>Required</t>
        </is>
      </c>
      <c r="D141" s="23" t="inlineStr">
        <is>
          <t>SATE-BLE-001</t>
        </is>
      </c>
      <c r="E141" s="25" t="inlineStr">
        <is>
          <t>First-time BLE pairing and device assignment</t>
        </is>
      </c>
      <c r="F141" s="25" t="inlineStr">
        <is>
          <t>BLE and Device Connectivity</t>
        </is>
      </c>
      <c r="G141" s="9" t="inlineStr">
        <is>
          <t>P0</t>
        </is>
      </c>
      <c r="H141" s="24">
        <f>IFERROR(VLOOKUP($D141,'Test Cases'!$A:$X,24,FALSE),"")</f>
        <v/>
      </c>
    </row>
    <row r="142">
      <c r="A142" s="23" t="inlineStr">
        <is>
          <t>RQ-19</t>
        </is>
      </c>
      <c r="B142" s="25" t="inlineStr">
        <is>
          <t>Supported platform matrix</t>
        </is>
      </c>
      <c r="C142" s="24" t="inlineStr">
        <is>
          <t>Required</t>
        </is>
      </c>
      <c r="D142" s="23" t="inlineStr">
        <is>
          <t>SATE-BLE-002</t>
        </is>
      </c>
      <c r="E142" s="25" t="inlineStr">
        <is>
          <t>Automatic reconnect after mobile app restart</t>
        </is>
      </c>
      <c r="F142" s="25" t="inlineStr">
        <is>
          <t>BLE and Device Connectivity</t>
        </is>
      </c>
      <c r="G142" s="9" t="inlineStr">
        <is>
          <t>P1</t>
        </is>
      </c>
      <c r="H142" s="24">
        <f>IFERROR(VLOOKUP($D142,'Test Cases'!$A:$X,24,FALSE),"")</f>
        <v/>
      </c>
    </row>
    <row r="143">
      <c r="A143" s="23" t="inlineStr">
        <is>
          <t>RQ-19</t>
        </is>
      </c>
      <c r="B143" s="25" t="inlineStr">
        <is>
          <t>Supported platform matrix</t>
        </is>
      </c>
      <c r="C143" s="24" t="inlineStr">
        <is>
          <t>Required</t>
        </is>
      </c>
      <c r="D143" s="23" t="inlineStr">
        <is>
          <t>SATE-BLE-003</t>
        </is>
      </c>
      <c r="E143" s="25" t="inlineStr">
        <is>
          <t>User selects the wrong BLE device</t>
        </is>
      </c>
      <c r="F143" s="25" t="inlineStr">
        <is>
          <t>BLE and Device Connectivity</t>
        </is>
      </c>
      <c r="G143" s="9" t="inlineStr">
        <is>
          <t>P1</t>
        </is>
      </c>
      <c r="H143" s="24">
        <f>IFERROR(VLOOKUP($D143,'Test Cases'!$A:$X,24,FALSE),"")</f>
        <v/>
      </c>
    </row>
    <row r="144">
      <c r="A144" s="23" t="inlineStr">
        <is>
          <t>RQ-19</t>
        </is>
      </c>
      <c r="B144" s="25" t="inlineStr">
        <is>
          <t>Supported platform matrix</t>
        </is>
      </c>
      <c r="C144" s="24" t="inlineStr">
        <is>
          <t>Required</t>
        </is>
      </c>
      <c r="D144" s="23" t="inlineStr">
        <is>
          <t>SATE-BLE-004</t>
        </is>
      </c>
      <c r="E144" s="25" t="inlineStr">
        <is>
          <t>Multiple nearby BLE devices during discovery and reconnect</t>
        </is>
      </c>
      <c r="F144" s="25" t="inlineStr">
        <is>
          <t>BLE and Device Connectivity</t>
        </is>
      </c>
      <c r="G144" s="9" t="inlineStr">
        <is>
          <t>P1</t>
        </is>
      </c>
      <c r="H144" s="24">
        <f>IFERROR(VLOOKUP($D144,'Test Cases'!$A:$X,24,FALSE),"")</f>
        <v/>
      </c>
    </row>
    <row r="145">
      <c r="A145" s="23" t="inlineStr">
        <is>
          <t>RQ-19</t>
        </is>
      </c>
      <c r="B145" s="25" t="inlineStr">
        <is>
          <t>Supported platform matrix</t>
        </is>
      </c>
      <c r="C145" s="24" t="inlineStr">
        <is>
          <t>Required</t>
        </is>
      </c>
      <c r="D145" s="23" t="inlineStr">
        <is>
          <t>SATE-BLE-005</t>
        </is>
      </c>
      <c r="E145" s="25" t="inlineStr">
        <is>
          <t>BLE device is already connected to another phone</t>
        </is>
      </c>
      <c r="F145" s="25" t="inlineStr">
        <is>
          <t>BLE and Device Connectivity</t>
        </is>
      </c>
      <c r="G145" s="9" t="inlineStr">
        <is>
          <t>P1</t>
        </is>
      </c>
      <c r="H145" s="24">
        <f>IFERROR(VLOOKUP($D145,'Test Cases'!$A:$X,24,FALSE),"")</f>
        <v/>
      </c>
    </row>
    <row r="146">
      <c r="A146" s="23" t="inlineStr">
        <is>
          <t>RQ-19</t>
        </is>
      </c>
      <c r="B146" s="25" t="inlineStr">
        <is>
          <t>Supported platform matrix</t>
        </is>
      </c>
      <c r="C146" s="24" t="inlineStr">
        <is>
          <t>Required</t>
        </is>
      </c>
      <c r="D146" s="23" t="inlineStr">
        <is>
          <t>SATE-BLE-006</t>
        </is>
      </c>
      <c r="E146" s="25" t="inlineStr">
        <is>
          <t>Bluetooth disabled or permission revoked</t>
        </is>
      </c>
      <c r="F146" s="25" t="inlineStr">
        <is>
          <t>BLE and Device Connectivity</t>
        </is>
      </c>
      <c r="G146" s="9" t="inlineStr">
        <is>
          <t>P0</t>
        </is>
      </c>
      <c r="H146" s="24">
        <f>IFERROR(VLOOKUP($D146,'Test Cases'!$A:$X,24,FALSE),"")</f>
        <v/>
      </c>
    </row>
    <row r="147">
      <c r="A147" s="23" t="inlineStr">
        <is>
          <t>RQ-19</t>
        </is>
      </c>
      <c r="B147" s="25" t="inlineStr">
        <is>
          <t>Supported platform matrix</t>
        </is>
      </c>
      <c r="C147" s="24" t="inlineStr">
        <is>
          <t>Required</t>
        </is>
      </c>
      <c r="D147" s="23" t="inlineStr">
        <is>
          <t>SATE-BLE-007</t>
        </is>
      </c>
      <c r="E147" s="25" t="inlineStr">
        <is>
          <t>BLE disconnects during recording and later reconnects</t>
        </is>
      </c>
      <c r="F147" s="25" t="inlineStr">
        <is>
          <t>BLE and Device Connectivity</t>
        </is>
      </c>
      <c r="G147" s="9" t="inlineStr">
        <is>
          <t>P0</t>
        </is>
      </c>
      <c r="H147" s="24">
        <f>IFERROR(VLOOKUP($D147,'Test Cases'!$A:$X,24,FALSE),"")</f>
        <v/>
      </c>
    </row>
    <row r="148">
      <c r="A148" s="23" t="inlineStr">
        <is>
          <t>RQ-19</t>
        </is>
      </c>
      <c r="B148" s="25" t="inlineStr">
        <is>
          <t>Supported platform matrix</t>
        </is>
      </c>
      <c r="C148" s="24" t="inlineStr">
        <is>
          <t>Required</t>
        </is>
      </c>
      <c r="D148" s="23" t="inlineStr">
        <is>
          <t>SATE-COMP-001</t>
        </is>
      </c>
      <c r="E148" s="25" t="inlineStr">
        <is>
          <t>Supported iOS and Android versions and representative devices</t>
        </is>
      </c>
      <c r="F148" s="25" t="inlineStr">
        <is>
          <t>Compatibility and Deployment</t>
        </is>
      </c>
      <c r="G148" s="9" t="inlineStr">
        <is>
          <t>P1</t>
        </is>
      </c>
      <c r="H148" s="24">
        <f>IFERROR(VLOOKUP($D148,'Test Cases'!$A:$X,24,FALSE),"")</f>
        <v/>
      </c>
    </row>
    <row r="149">
      <c r="A149" s="23" t="inlineStr">
        <is>
          <t>RQ-19</t>
        </is>
      </c>
      <c r="B149" s="25" t="inlineStr">
        <is>
          <t>Supported platform matrix</t>
        </is>
      </c>
      <c r="C149" s="24" t="inlineStr">
        <is>
          <t>Required</t>
        </is>
      </c>
      <c r="D149" s="23" t="inlineStr">
        <is>
          <t>SATE-COMP-002</t>
        </is>
      </c>
      <c r="E149" s="25" t="inlineStr">
        <is>
          <t>Supported desktop browsers for Web App and PDF</t>
        </is>
      </c>
      <c r="F149" s="25" t="inlineStr">
        <is>
          <t>Compatibility and Deployment</t>
        </is>
      </c>
      <c r="G149" s="9" t="inlineStr">
        <is>
          <t>P1</t>
        </is>
      </c>
      <c r="H149" s="24">
        <f>IFERROR(VLOOKUP($D149,'Test Cases'!$A:$X,24,FALSE),"")</f>
        <v/>
      </c>
    </row>
    <row r="150">
      <c r="A150" s="23" t="inlineStr">
        <is>
          <t>RQ-19</t>
        </is>
      </c>
      <c r="B150" s="25" t="inlineStr">
        <is>
          <t>Supported platform matrix</t>
        </is>
      </c>
      <c r="C150" s="24" t="inlineStr">
        <is>
          <t>Required</t>
        </is>
      </c>
      <c r="D150" s="23" t="inlineStr">
        <is>
          <t>SATE-COMP-003</t>
        </is>
      </c>
      <c r="E150" s="25" t="inlineStr">
        <is>
          <t>Older app/firmware version against current backend</t>
        </is>
      </c>
      <c r="F150" s="25" t="inlineStr">
        <is>
          <t>Compatibility and Deployment</t>
        </is>
      </c>
      <c r="G150" s="9" t="inlineStr">
        <is>
          <t>P1</t>
        </is>
      </c>
      <c r="H150" s="24">
        <f>IFERROR(VLOOKUP($D150,'Test Cases'!$A:$X,24,FALSE),"")</f>
        <v/>
      </c>
    </row>
    <row r="151">
      <c r="A151" s="23" t="inlineStr">
        <is>
          <t>RQ-19</t>
        </is>
      </c>
      <c r="B151" s="25" t="inlineStr">
        <is>
          <t>Supported platform matrix</t>
        </is>
      </c>
      <c r="C151" s="24" t="inlineStr">
        <is>
          <t>Required</t>
        </is>
      </c>
      <c r="D151" s="23" t="inlineStr">
        <is>
          <t>SATE-COMP-004</t>
        </is>
      </c>
      <c r="E151" s="25" t="inlineStr">
        <is>
          <t>Time zone, daylight-saving transition, and device clock skew</t>
        </is>
      </c>
      <c r="F151" s="25" t="inlineStr">
        <is>
          <t>Compatibility and Deployment</t>
        </is>
      </c>
      <c r="G151" s="9" t="inlineStr">
        <is>
          <t>P1</t>
        </is>
      </c>
      <c r="H151" s="24">
        <f>IFERROR(VLOOKUP($D151,'Test Cases'!$A:$X,24,FALSE),"")</f>
        <v/>
      </c>
    </row>
    <row r="152">
      <c r="A152" s="23" t="inlineStr">
        <is>
          <t>RQ-19</t>
        </is>
      </c>
      <c r="B152" s="25" t="inlineStr">
        <is>
          <t>Supported platform matrix</t>
        </is>
      </c>
      <c r="C152" s="24" t="inlineStr">
        <is>
          <t>Required</t>
        </is>
      </c>
      <c r="D152" s="23" t="inlineStr">
        <is>
          <t>SATE-COMP-005</t>
        </is>
      </c>
      <c r="E152" s="25" t="inlineStr">
        <is>
          <t>Low-end device and degraded network performance</t>
        </is>
      </c>
      <c r="F152" s="25" t="inlineStr">
        <is>
          <t>Compatibility and Deployment</t>
        </is>
      </c>
      <c r="G152" s="9" t="inlineStr">
        <is>
          <t>P1</t>
        </is>
      </c>
      <c r="H152" s="24">
        <f>IFERROR(VLOOKUP($D152,'Test Cases'!$A:$X,24,FALSE),"")</f>
        <v/>
      </c>
    </row>
    <row r="153">
      <c r="A153" s="23" t="inlineStr">
        <is>
          <t>RQ-19</t>
        </is>
      </c>
      <c r="B153" s="25" t="inlineStr">
        <is>
          <t>Supported platform matrix</t>
        </is>
      </c>
      <c r="C153" s="24" t="inlineStr">
        <is>
          <t>Required</t>
        </is>
      </c>
      <c r="D153" s="23" t="inlineStr">
        <is>
          <t>SATE-E2E-005</t>
        </is>
      </c>
      <c r="E153" s="25" t="inlineStr">
        <is>
          <t>Session metadata, timestamp, time-zone, and device association</t>
        </is>
      </c>
      <c r="F153" s="25" t="inlineStr">
        <is>
          <t>End-to-End Recording and Sync</t>
        </is>
      </c>
      <c r="G153" s="9" t="inlineStr">
        <is>
          <t>P0</t>
        </is>
      </c>
      <c r="H153" s="24">
        <f>IFERROR(VLOOKUP($D153,'Test Cases'!$A:$X,24,FALSE),"")</f>
        <v/>
      </c>
    </row>
    <row r="154">
      <c r="A154" s="23" t="inlineStr">
        <is>
          <t>RQ-19</t>
        </is>
      </c>
      <c r="B154" s="25" t="inlineStr">
        <is>
          <t>Supported platform matrix</t>
        </is>
      </c>
      <c r="C154" s="24" t="inlineStr">
        <is>
          <t>Required</t>
        </is>
      </c>
      <c r="D154" s="23" t="inlineStr">
        <is>
          <t>SATE-LONG-005</t>
        </is>
      </c>
      <c r="E154" s="25" t="inlineStr">
        <is>
          <t>Phone locks or mobile app remains in background during a long recording</t>
        </is>
      </c>
      <c r="F154" s="25" t="inlineStr">
        <is>
          <t>Long Session and Performance</t>
        </is>
      </c>
      <c r="G154" s="9" t="inlineStr">
        <is>
          <t>P0</t>
        </is>
      </c>
      <c r="H154" s="24">
        <f>IFERROR(VLOOKUP($D154,'Test Cases'!$A:$X,24,FALSE),"")</f>
        <v/>
      </c>
    </row>
    <row r="155">
      <c r="A155" s="23" t="inlineStr">
        <is>
          <t>RQ-19</t>
        </is>
      </c>
      <c r="B155" s="25" t="inlineStr">
        <is>
          <t>Supported platform matrix</t>
        </is>
      </c>
      <c r="C155" s="24" t="inlineStr">
        <is>
          <t>Required</t>
        </is>
      </c>
      <c r="D155" s="23" t="inlineStr">
        <is>
          <t>SATE-NET-005</t>
        </is>
      </c>
      <c r="E155" s="25" t="inlineStr">
        <is>
          <t>Connectivity returns while app/device is in background or screen is locked</t>
        </is>
      </c>
      <c r="F155" s="25" t="inlineStr">
        <is>
          <t>Network, Offline, and Upload Recovery</t>
        </is>
      </c>
      <c r="G155" s="9" t="inlineStr">
        <is>
          <t>P0</t>
        </is>
      </c>
      <c r="H155" s="24">
        <f>IFERROR(VLOOKUP($D155,'Test Cases'!$A:$X,24,FALSE),"")</f>
        <v/>
      </c>
    </row>
    <row r="156">
      <c r="A156" s="23" t="inlineStr">
        <is>
          <t>RQ-19</t>
        </is>
      </c>
      <c r="B156" s="25" t="inlineStr">
        <is>
          <t>Supported platform matrix</t>
        </is>
      </c>
      <c r="C156" s="24" t="inlineStr">
        <is>
          <t>Required</t>
        </is>
      </c>
      <c r="D156" s="23" t="inlineStr">
        <is>
          <t>SATE-NET-007</t>
        </is>
      </c>
      <c r="E156" s="25" t="inlineStr">
        <is>
          <t>Captive portal or authentication-required Wi-Fi</t>
        </is>
      </c>
      <c r="F156" s="25" t="inlineStr">
        <is>
          <t>Network, Offline, and Upload Recovery</t>
        </is>
      </c>
      <c r="G156" s="9" t="inlineStr">
        <is>
          <t>P2</t>
        </is>
      </c>
      <c r="H156" s="24">
        <f>IFERROR(VLOOKUP($D156,'Test Cases'!$A:$X,24,FALSE),"")</f>
        <v/>
      </c>
    </row>
    <row r="157">
      <c r="A157" s="23" t="inlineStr">
        <is>
          <t>RQ-19</t>
        </is>
      </c>
      <c r="B157" s="25" t="inlineStr">
        <is>
          <t>Supported platform matrix</t>
        </is>
      </c>
      <c r="C157" s="24" t="inlineStr">
        <is>
          <t>Required</t>
        </is>
      </c>
      <c r="D157" s="23" t="inlineStr">
        <is>
          <t>SATE-PDF-003</t>
        </is>
      </c>
      <c r="E157" s="25" t="inlineStr">
        <is>
          <t>Special characters and Unicode in PDF</t>
        </is>
      </c>
      <c r="F157" s="25" t="inlineStr">
        <is>
          <t>PDF Export</t>
        </is>
      </c>
      <c r="G157" s="9" t="inlineStr">
        <is>
          <t>P1</t>
        </is>
      </c>
      <c r="H157" s="24">
        <f>IFERROR(VLOOKUP($D157,'Test Cases'!$A:$X,24,FALSE),"")</f>
        <v/>
      </c>
    </row>
    <row r="158">
      <c r="A158" s="23" t="inlineStr">
        <is>
          <t>RQ-19</t>
        </is>
      </c>
      <c r="B158" s="25" t="inlineStr">
        <is>
          <t>Supported platform matrix</t>
        </is>
      </c>
      <c r="C158" s="24" t="inlineStr">
        <is>
          <t>Required</t>
        </is>
      </c>
      <c r="D158" s="23" t="inlineStr">
        <is>
          <t>SATE-PDF-006</t>
        </is>
      </c>
      <c r="E158" s="25" t="inlineStr">
        <is>
          <t>PDF file name, metadata, time zone, repeated export, and access</t>
        </is>
      </c>
      <c r="F158" s="25" t="inlineStr">
        <is>
          <t>PDF Export</t>
        </is>
      </c>
      <c r="G158" s="9" t="inlineStr">
        <is>
          <t>P1</t>
        </is>
      </c>
      <c r="H158" s="24">
        <f>IFERROR(VLOOKUP($D158,'Test Cases'!$A:$X,24,FALSE),"")</f>
        <v/>
      </c>
    </row>
    <row r="159">
      <c r="A159" s="23" t="inlineStr">
        <is>
          <t>RQ-19</t>
        </is>
      </c>
      <c r="B159" s="25" t="inlineStr">
        <is>
          <t>Supported platform matrix</t>
        </is>
      </c>
      <c r="C159" s="24" t="inlineStr">
        <is>
          <t>Required</t>
        </is>
      </c>
      <c r="D159" s="23" t="inlineStr">
        <is>
          <t>SATE-WEB-007</t>
        </is>
      </c>
      <c r="E159" s="25" t="inlineStr">
        <is>
          <t>Long transcript and special characters</t>
        </is>
      </c>
      <c r="F159" s="25" t="inlineStr">
        <is>
          <t>Web Transcript Review</t>
        </is>
      </c>
      <c r="G159" s="9" t="inlineStr">
        <is>
          <t>P1</t>
        </is>
      </c>
      <c r="H159" s="24">
        <f>IFERROR(VLOOKUP($D159,'Test Cases'!$A:$X,24,FALSE),"")</f>
        <v/>
      </c>
    </row>
    <row r="160">
      <c r="A160" s="23" t="inlineStr">
        <is>
          <t>RQ-20</t>
        </is>
      </c>
      <c r="B160" s="25" t="inlineStr">
        <is>
          <t>Performance and reliability SLA</t>
        </is>
      </c>
      <c r="C160" s="24" t="inlineStr">
        <is>
          <t>Needs confirmation</t>
        </is>
      </c>
      <c r="D160" s="23" t="inlineStr">
        <is>
          <t>SATE-BE-001</t>
        </is>
      </c>
      <c r="E160" s="25" t="inlineStr">
        <is>
          <t>Standard backend status progression and result persistence</t>
        </is>
      </c>
      <c r="F160" s="25" t="inlineStr">
        <is>
          <t>Backend, Retry, and AI Processing</t>
        </is>
      </c>
      <c r="G160" s="9" t="inlineStr">
        <is>
          <t>P0</t>
        </is>
      </c>
      <c r="H160" s="24">
        <f>IFERROR(VLOOKUP($D160,'Test Cases'!$A:$X,24,FALSE),"")</f>
        <v/>
      </c>
    </row>
    <row r="161">
      <c r="A161" s="23" t="inlineStr">
        <is>
          <t>RQ-20</t>
        </is>
      </c>
      <c r="B161" s="25" t="inlineStr">
        <is>
          <t>Performance and reliability SLA</t>
        </is>
      </c>
      <c r="C161" s="24" t="inlineStr">
        <is>
          <t>Needs confirmation</t>
        </is>
      </c>
      <c r="D161" s="23" t="inlineStr">
        <is>
          <t>SATE-BE-005</t>
        </is>
      </c>
      <c r="E161" s="25" t="inlineStr">
        <is>
          <t>AI request times out, then succeeds</t>
        </is>
      </c>
      <c r="F161" s="25" t="inlineStr">
        <is>
          <t>Backend, Retry, and AI Processing</t>
        </is>
      </c>
      <c r="G161" s="9" t="inlineStr">
        <is>
          <t>P0</t>
        </is>
      </c>
      <c r="H161" s="24">
        <f>IFERROR(VLOOKUP($D161,'Test Cases'!$A:$X,24,FALSE),"")</f>
        <v/>
      </c>
    </row>
    <row r="162">
      <c r="A162" s="23" t="inlineStr">
        <is>
          <t>RQ-20</t>
        </is>
      </c>
      <c r="B162" s="25" t="inlineStr">
        <is>
          <t>Performance and reliability SLA</t>
        </is>
      </c>
      <c r="C162" s="24" t="inlineStr">
        <is>
          <t>Needs confirmation</t>
        </is>
      </c>
      <c r="D162" s="23" t="inlineStr">
        <is>
          <t>SATE-BE-010</t>
        </is>
      </c>
      <c r="E162" s="25" t="inlineStr">
        <is>
          <t>Cloudflare or Edge Function is temporarily unavailable</t>
        </is>
      </c>
      <c r="F162" s="25" t="inlineStr">
        <is>
          <t>Backend, Retry, and AI Processing</t>
        </is>
      </c>
      <c r="G162" s="9" t="inlineStr">
        <is>
          <t>P0</t>
        </is>
      </c>
      <c r="H162" s="24">
        <f>IFERROR(VLOOKUP($D162,'Test Cases'!$A:$X,24,FALSE),"")</f>
        <v/>
      </c>
    </row>
    <row r="163">
      <c r="A163" s="23" t="inlineStr">
        <is>
          <t>RQ-20</t>
        </is>
      </c>
      <c r="B163" s="25" t="inlineStr">
        <is>
          <t>Performance and reliability SLA</t>
        </is>
      </c>
      <c r="C163" s="24" t="inlineStr">
        <is>
          <t>Needs confirmation</t>
        </is>
      </c>
      <c r="D163" s="23" t="inlineStr">
        <is>
          <t>SATE-BLE-008</t>
        </is>
      </c>
      <c r="E163" s="25" t="inlineStr">
        <is>
          <t>BLE accessory battery is depleted during recording</t>
        </is>
      </c>
      <c r="F163" s="25" t="inlineStr">
        <is>
          <t>BLE and Device Connectivity</t>
        </is>
      </c>
      <c r="G163" s="9" t="inlineStr">
        <is>
          <t>P0</t>
        </is>
      </c>
      <c r="H163" s="24">
        <f>IFERROR(VLOOKUP($D163,'Test Cases'!$A:$X,24,FALSE),"")</f>
        <v/>
      </c>
    </row>
    <row r="164">
      <c r="A164" s="23" t="inlineStr">
        <is>
          <t>RQ-20</t>
        </is>
      </c>
      <c r="B164" s="25" t="inlineStr">
        <is>
          <t>Performance and reliability SLA</t>
        </is>
      </c>
      <c r="C164" s="24" t="inlineStr">
        <is>
          <t>Needs confirmation</t>
        </is>
      </c>
      <c r="D164" s="23" t="inlineStr">
        <is>
          <t>SATE-COMP-005</t>
        </is>
      </c>
      <c r="E164" s="25" t="inlineStr">
        <is>
          <t>Low-end device and degraded network performance</t>
        </is>
      </c>
      <c r="F164" s="25" t="inlineStr">
        <is>
          <t>Compatibility and Deployment</t>
        </is>
      </c>
      <c r="G164" s="9" t="inlineStr">
        <is>
          <t>P1</t>
        </is>
      </c>
      <c r="H164" s="24">
        <f>IFERROR(VLOOKUP($D164,'Test Cases'!$A:$X,24,FALSE),"")</f>
        <v/>
      </c>
    </row>
    <row r="165">
      <c r="A165" s="23" t="inlineStr">
        <is>
          <t>RQ-20</t>
        </is>
      </c>
      <c r="B165" s="25" t="inlineStr">
        <is>
          <t>Performance and reliability SLA</t>
        </is>
      </c>
      <c r="C165" s="24" t="inlineStr">
        <is>
          <t>Needs confirmation</t>
        </is>
      </c>
      <c r="D165" s="23" t="inlineStr">
        <is>
          <t>SATE-E2E-001</t>
        </is>
      </c>
      <c r="E165" s="25" t="inlineStr">
        <is>
          <t>Standard online recording, upload, processing, review, and PDF export</t>
        </is>
      </c>
      <c r="F165" s="25" t="inlineStr">
        <is>
          <t>End-to-End Recording and Sync</t>
        </is>
      </c>
      <c r="G165" s="9" t="inlineStr">
        <is>
          <t>P0</t>
        </is>
      </c>
      <c r="H165" s="24">
        <f>IFERROR(VLOOKUP($D165,'Test Cases'!$A:$X,24,FALSE),"")</f>
        <v/>
      </c>
    </row>
    <row r="166">
      <c r="A166" s="23" t="inlineStr">
        <is>
          <t>RQ-20</t>
        </is>
      </c>
      <c r="B166" s="25" t="inlineStr">
        <is>
          <t>Performance and reliability SLA</t>
        </is>
      </c>
      <c r="C166" s="24" t="inlineStr">
        <is>
          <t>Needs confirmation</t>
        </is>
      </c>
      <c r="D166" s="23" t="inlineStr">
        <is>
          <t>SATE-E2E-003</t>
        </is>
      </c>
      <c r="E166" s="25" t="inlineStr">
        <is>
          <t>Silent or near-silent recording</t>
        </is>
      </c>
      <c r="F166" s="25" t="inlineStr">
        <is>
          <t>End-to-End Recording and Sync</t>
        </is>
      </c>
      <c r="G166" s="9" t="inlineStr">
        <is>
          <t>P1</t>
        </is>
      </c>
      <c r="H166" s="24">
        <f>IFERROR(VLOOKUP($D166,'Test Cases'!$A:$X,24,FALSE),"")</f>
        <v/>
      </c>
    </row>
    <row r="167">
      <c r="A167" s="23" t="inlineStr">
        <is>
          <t>RQ-20</t>
        </is>
      </c>
      <c r="B167" s="25" t="inlineStr">
        <is>
          <t>Performance and reliability SLA</t>
        </is>
      </c>
      <c r="C167" s="24" t="inlineStr">
        <is>
          <t>Needs confirmation</t>
        </is>
      </c>
      <c r="D167" s="23" t="inlineStr">
        <is>
          <t>SATE-E2E-004</t>
        </is>
      </c>
      <c r="E167" s="25" t="inlineStr">
        <is>
          <t>Noisy recording with multiple speakers and interruptions</t>
        </is>
      </c>
      <c r="F167" s="25" t="inlineStr">
        <is>
          <t>End-to-End Recording and Sync</t>
        </is>
      </c>
      <c r="G167" s="9" t="inlineStr">
        <is>
          <t>P1</t>
        </is>
      </c>
      <c r="H167" s="24">
        <f>IFERROR(VLOOKUP($D167,'Test Cases'!$A:$X,24,FALSE),"")</f>
        <v/>
      </c>
    </row>
    <row r="168">
      <c r="A168" s="23" t="inlineStr">
        <is>
          <t>RQ-20</t>
        </is>
      </c>
      <c r="B168" s="25" t="inlineStr">
        <is>
          <t>Performance and reliability SLA</t>
        </is>
      </c>
      <c r="C168" s="24" t="inlineStr">
        <is>
          <t>Needs confirmation</t>
        </is>
      </c>
      <c r="D168" s="23" t="inlineStr">
        <is>
          <t>SATE-LONG-001</t>
        </is>
      </c>
      <c r="E168" s="25" t="inlineStr">
        <is>
          <t>Recording at the 30-minute boundary</t>
        </is>
      </c>
      <c r="F168" s="25" t="inlineStr">
        <is>
          <t>Long Session and Performance</t>
        </is>
      </c>
      <c r="G168" s="9" t="inlineStr">
        <is>
          <t>P0</t>
        </is>
      </c>
      <c r="H168" s="24">
        <f>IFERROR(VLOOKUP($D168,'Test Cases'!$A:$X,24,FALSE),"")</f>
        <v/>
      </c>
    </row>
    <row r="169">
      <c r="A169" s="23" t="inlineStr">
        <is>
          <t>RQ-20</t>
        </is>
      </c>
      <c r="B169" s="25" t="inlineStr">
        <is>
          <t>Performance and reliability SLA</t>
        </is>
      </c>
      <c r="C169" s="24" t="inlineStr">
        <is>
          <t>Needs confirmation</t>
        </is>
      </c>
      <c r="D169" s="23" t="inlineStr">
        <is>
          <t>SATE-LONG-002</t>
        </is>
      </c>
      <c r="E169" s="25" t="inlineStr">
        <is>
          <t>Forty-five-minute recording</t>
        </is>
      </c>
      <c r="F169" s="25" t="inlineStr">
        <is>
          <t>Long Session and Performance</t>
        </is>
      </c>
      <c r="G169" s="9" t="inlineStr">
        <is>
          <t>P0</t>
        </is>
      </c>
      <c r="H169" s="24">
        <f>IFERROR(VLOOKUP($D169,'Test Cases'!$A:$X,24,FALSE),"")</f>
        <v/>
      </c>
    </row>
    <row r="170">
      <c r="A170" s="23" t="inlineStr">
        <is>
          <t>RQ-20</t>
        </is>
      </c>
      <c r="B170" s="25" t="inlineStr">
        <is>
          <t>Performance and reliability SLA</t>
        </is>
      </c>
      <c r="C170" s="24" t="inlineStr">
        <is>
          <t>Needs confirmation</t>
        </is>
      </c>
      <c r="D170" s="23" t="inlineStr">
        <is>
          <t>SATE-LONG-003</t>
        </is>
      </c>
      <c r="E170" s="25" t="inlineStr">
        <is>
          <t>Maximum supported recording duration</t>
        </is>
      </c>
      <c r="F170" s="25" t="inlineStr">
        <is>
          <t>Long Session and Performance</t>
        </is>
      </c>
      <c r="G170" s="9" t="inlineStr">
        <is>
          <t>P0</t>
        </is>
      </c>
      <c r="H170" s="24">
        <f>IFERROR(VLOOKUP($D170,'Test Cases'!$A:$X,24,FALSE),"")</f>
        <v/>
      </c>
    </row>
    <row r="171">
      <c r="A171" s="23" t="inlineStr">
        <is>
          <t>RQ-20</t>
        </is>
      </c>
      <c r="B171" s="25" t="inlineStr">
        <is>
          <t>Performance and reliability SLA</t>
        </is>
      </c>
      <c r="C171" s="24" t="inlineStr">
        <is>
          <t>Needs confirmation</t>
        </is>
      </c>
      <c r="D171" s="23" t="inlineStr">
        <is>
          <t>SATE-LONG-004</t>
        </is>
      </c>
      <c r="E171" s="25" t="inlineStr">
        <is>
          <t>Long-session upload interrupted and resumed</t>
        </is>
      </c>
      <c r="F171" s="25" t="inlineStr">
        <is>
          <t>Long Session and Performance</t>
        </is>
      </c>
      <c r="G171" s="9" t="inlineStr">
        <is>
          <t>P0</t>
        </is>
      </c>
      <c r="H171" s="24">
        <f>IFERROR(VLOOKUP($D171,'Test Cases'!$A:$X,24,FALSE),"")</f>
        <v/>
      </c>
    </row>
    <row r="172">
      <c r="A172" s="23" t="inlineStr">
        <is>
          <t>RQ-20</t>
        </is>
      </c>
      <c r="B172" s="25" t="inlineStr">
        <is>
          <t>Performance and reliability SLA</t>
        </is>
      </c>
      <c r="C172" s="24" t="inlineStr">
        <is>
          <t>Needs confirmation</t>
        </is>
      </c>
      <c r="D172" s="23" t="inlineStr">
        <is>
          <t>SATE-LONG-006</t>
        </is>
      </c>
      <c r="E172" s="25" t="inlineStr">
        <is>
          <t>Battery, temperature, memory, storage, and processing-time observation</t>
        </is>
      </c>
      <c r="F172" s="25" t="inlineStr">
        <is>
          <t>Long Session and Performance</t>
        </is>
      </c>
      <c r="G172" s="9" t="inlineStr">
        <is>
          <t>P1</t>
        </is>
      </c>
      <c r="H172" s="24">
        <f>IFERROR(VLOOKUP($D172,'Test Cases'!$A:$X,24,FALSE),"")</f>
        <v/>
      </c>
    </row>
    <row r="173">
      <c r="A173" s="23" t="inlineStr">
        <is>
          <t>RQ-20</t>
        </is>
      </c>
      <c r="B173" s="25" t="inlineStr">
        <is>
          <t>Performance and reliability SLA</t>
        </is>
      </c>
      <c r="C173" s="24" t="inlineStr">
        <is>
          <t>Needs confirmation</t>
        </is>
      </c>
      <c r="D173" s="23" t="inlineStr">
        <is>
          <t>SATE-NET-009</t>
        </is>
      </c>
      <c r="E173" s="25" t="inlineStr">
        <is>
          <t>Rapidly flapping or weak network</t>
        </is>
      </c>
      <c r="F173" s="25" t="inlineStr">
        <is>
          <t>Network, Offline, and Upload Recovery</t>
        </is>
      </c>
      <c r="G173" s="9" t="inlineStr">
        <is>
          <t>P1</t>
        </is>
      </c>
      <c r="H173" s="24">
        <f>IFERROR(VLOOKUP($D173,'Test Cases'!$A:$X,24,FALSE),"")</f>
        <v/>
      </c>
    </row>
    <row r="174">
      <c r="A174" s="23" t="inlineStr">
        <is>
          <t>RQ-20</t>
        </is>
      </c>
      <c r="B174" s="25" t="inlineStr">
        <is>
          <t>Performance and reliability SLA</t>
        </is>
      </c>
      <c r="C174" s="24" t="inlineStr">
        <is>
          <t>Needs confirmation</t>
        </is>
      </c>
      <c r="D174" s="23" t="inlineStr">
        <is>
          <t>SATE-PDF-002</t>
        </is>
      </c>
      <c r="E174" s="25" t="inlineStr">
        <is>
          <t>Long-session report pagination</t>
        </is>
      </c>
      <c r="F174" s="25" t="inlineStr">
        <is>
          <t>PDF Export</t>
        </is>
      </c>
      <c r="G174" s="9" t="inlineStr">
        <is>
          <t>P0</t>
        </is>
      </c>
      <c r="H174" s="24">
        <f>IFERROR(VLOOKUP($D174,'Test Cases'!$A:$X,24,FALSE),"")</f>
        <v/>
      </c>
    </row>
    <row r="175">
      <c r="A175" s="23" t="inlineStr">
        <is>
          <t>RQ-20</t>
        </is>
      </c>
      <c r="B175" s="25" t="inlineStr">
        <is>
          <t>Performance and reliability SLA</t>
        </is>
      </c>
      <c r="C175" s="24" t="inlineStr">
        <is>
          <t>Needs confirmation</t>
        </is>
      </c>
      <c r="D175" s="23" t="inlineStr">
        <is>
          <t>SATE-REC-003</t>
        </is>
      </c>
      <c r="E175" s="25" t="inlineStr">
        <is>
          <t>Low-battery shutdown during recording</t>
        </is>
      </c>
      <c r="F175" s="25" t="inlineStr">
        <is>
          <t>Recorder Interruption and Local Persistence</t>
        </is>
      </c>
      <c r="G175" s="9" t="inlineStr">
        <is>
          <t>P0</t>
        </is>
      </c>
      <c r="H175" s="24">
        <f>IFERROR(VLOOKUP($D175,'Test Cases'!$A:$X,24,FALSE),"")</f>
        <v/>
      </c>
    </row>
    <row r="176">
      <c r="A176" s="23" t="inlineStr">
        <is>
          <t>RQ-20</t>
        </is>
      </c>
      <c r="B176" s="25" t="inlineStr">
        <is>
          <t>Performance and reliability SLA</t>
        </is>
      </c>
      <c r="C176" s="24" t="inlineStr">
        <is>
          <t>Needs confirmation</t>
        </is>
      </c>
      <c r="D176" s="23" t="inlineStr">
        <is>
          <t>SATE-WEB-007</t>
        </is>
      </c>
      <c r="E176" s="25" t="inlineStr">
        <is>
          <t>Long transcript and special characters</t>
        </is>
      </c>
      <c r="F176" s="25" t="inlineStr">
        <is>
          <t>Web Transcript Review</t>
        </is>
      </c>
      <c r="G176" s="9" t="inlineStr">
        <is>
          <t>P1</t>
        </is>
      </c>
      <c r="H176" s="24">
        <f>IFERROR(VLOOKUP($D176,'Test Cases'!$A:$X,24,FALSE),"")</f>
        <v/>
      </c>
    </row>
    <row r="177">
      <c r="A177" s="23" t="inlineStr">
        <is>
          <t>RQ-21</t>
        </is>
      </c>
      <c r="B177" s="25" t="inlineStr">
        <is>
          <t>Direct Wi-Fi versus mobile path</t>
        </is>
      </c>
      <c r="C177" s="24" t="inlineStr">
        <is>
          <t>Needs confirmation</t>
        </is>
      </c>
      <c r="D177" s="23" t="inlineStr">
        <is>
          <t>SATE-E2E-006</t>
        </is>
      </c>
      <c r="E177" s="25" t="inlineStr">
        <is>
          <t>Repeated Stop, Save, Upload, or Submit actions</t>
        </is>
      </c>
      <c r="F177" s="25" t="inlineStr">
        <is>
          <t>End-to-End Recording and Sync</t>
        </is>
      </c>
      <c r="G177" s="9" t="inlineStr">
        <is>
          <t>P0</t>
        </is>
      </c>
      <c r="H177" s="24">
        <f>IFERROR(VLOOKUP($D177,'Test Cases'!$A:$X,24,FALSE),"")</f>
        <v/>
      </c>
    </row>
    <row r="178">
      <c r="A178" s="23" t="inlineStr">
        <is>
          <t>RQ-21</t>
        </is>
      </c>
      <c r="B178" s="25" t="inlineStr">
        <is>
          <t>Direct Wi-Fi versus mobile path</t>
        </is>
      </c>
      <c r="C178" s="24" t="inlineStr">
        <is>
          <t>Needs confirmation</t>
        </is>
      </c>
      <c r="D178" s="23" t="inlineStr">
        <is>
          <t>SATE-QUE-006</t>
        </is>
      </c>
      <c r="E178" s="25" t="inlineStr">
        <is>
          <t>Same recording reaches backend through direct Wi-Fi and mobile-app paths</t>
        </is>
      </c>
      <c r="F178" s="25" t="inlineStr">
        <is>
          <t>Queue, Batch, and Concurrency</t>
        </is>
      </c>
      <c r="G178" s="9" t="inlineStr">
        <is>
          <t>P0</t>
        </is>
      </c>
      <c r="H178" s="24">
        <f>IFERROR(VLOOKUP($D178,'Test Cases'!$A:$X,24,FALSE),"")</f>
        <v/>
      </c>
    </row>
    <row r="179">
      <c r="A179" s="23" t="inlineStr">
        <is>
          <t>RQ-22</t>
        </is>
      </c>
      <c r="B179" s="25" t="inlineStr">
        <is>
          <t>Pending data during logout/account switch</t>
        </is>
      </c>
      <c r="C179" s="24" t="inlineStr">
        <is>
          <t>Required</t>
        </is>
      </c>
      <c r="D179" s="23" t="inlineStr">
        <is>
          <t>SATE-APP-006</t>
        </is>
      </c>
      <c r="E179" s="25" t="inlineStr">
        <is>
          <t>User logs out while sessions are pending upload</t>
        </is>
      </c>
      <c r="F179" s="25" t="inlineStr">
        <is>
          <t>Mobile App Lifecycle and Authentication</t>
        </is>
      </c>
      <c r="G179" s="9" t="inlineStr">
        <is>
          <t>P0</t>
        </is>
      </c>
      <c r="H179" s="24">
        <f>IFERROR(VLOOKUP($D179,'Test Cases'!$A:$X,24,FALSE),"")</f>
        <v/>
      </c>
    </row>
    <row r="180">
      <c r="A180" s="23" t="inlineStr">
        <is>
          <t>RQ-22</t>
        </is>
      </c>
      <c r="B180" s="25" t="inlineStr">
        <is>
          <t>Pending data during logout/account switch</t>
        </is>
      </c>
      <c r="C180" s="24" t="inlineStr">
        <is>
          <t>Required</t>
        </is>
      </c>
      <c r="D180" s="23" t="inlineStr">
        <is>
          <t>SATE-APP-007</t>
        </is>
      </c>
      <c r="E180" s="25" t="inlineStr">
        <is>
          <t>Different user logs in while prior user's session remains pending</t>
        </is>
      </c>
      <c r="F180" s="25" t="inlineStr">
        <is>
          <t>Mobile App Lifecycle and Authentication</t>
        </is>
      </c>
      <c r="G180" s="9" t="inlineStr">
        <is>
          <t>P0</t>
        </is>
      </c>
      <c r="H180" s="24">
        <f>IFERROR(VLOOKUP($D180,'Test Cases'!$A:$X,24,FALSE),"")</f>
        <v/>
      </c>
    </row>
    <row r="181">
      <c r="A181" s="23" t="inlineStr">
        <is>
          <t>RQ-22</t>
        </is>
      </c>
      <c r="B181" s="25" t="inlineStr">
        <is>
          <t>Pending data during logout/account switch</t>
        </is>
      </c>
      <c r="C181" s="24" t="inlineStr">
        <is>
          <t>Required</t>
        </is>
      </c>
      <c r="D181" s="23" t="inlineStr">
        <is>
          <t>SATE-APP-008</t>
        </is>
      </c>
      <c r="E181" s="25" t="inlineStr">
        <is>
          <t>App update or reinstall when unsynced sessions exist</t>
        </is>
      </c>
      <c r="F181" s="25" t="inlineStr">
        <is>
          <t>Mobile App Lifecycle and Authentication</t>
        </is>
      </c>
      <c r="G181" s="9" t="inlineStr">
        <is>
          <t>P1</t>
        </is>
      </c>
      <c r="H181" s="24">
        <f>IFERROR(VLOOKUP($D181,'Test Cases'!$A:$X,24,FALSE),"")</f>
        <v/>
      </c>
    </row>
    <row r="182">
      <c r="A182" s="23" t="inlineStr">
        <is>
          <t>RQ-22</t>
        </is>
      </c>
      <c r="B182" s="25" t="inlineStr">
        <is>
          <t>Pending data during logout/account switch</t>
        </is>
      </c>
      <c r="C182" s="24" t="inlineStr">
        <is>
          <t>Required</t>
        </is>
      </c>
      <c r="D182" s="23" t="inlineStr">
        <is>
          <t>SATE-SEC-004</t>
        </is>
      </c>
      <c r="E182" s="25" t="inlineStr">
        <is>
          <t>Pending local session remains isolated during account switch</t>
        </is>
      </c>
      <c r="F182" s="25" t="inlineStr">
        <is>
          <t>Security, Privacy, and Data Isolation</t>
        </is>
      </c>
      <c r="G182" s="9" t="inlineStr">
        <is>
          <t>P0</t>
        </is>
      </c>
      <c r="H182" s="24">
        <f>IFERROR(VLOOKUP($D182,'Test Cases'!$A:$X,24,FALSE),"")</f>
        <v/>
      </c>
    </row>
  </sheetData>
  <autoFilter ref="A1:H182"/>
  <conditionalFormatting sqref="A2:H182">
    <cfRule type="expression" priority="1" dxfId="12">
      <formula>$H2="Fail"</formula>
    </cfRule>
    <cfRule type="expression" priority="2" dxfId="4">
      <formula>$H2="Pass"</formula>
    </cfRule>
  </conditionalFormatting>
  <conditionalFormatting sqref="C2:C182">
    <cfRule type="cellIs" priority="3" operator="equal" dxfId="0">
      <formula>"MISSING"</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5" customWidth="1" min="3" max="3"/>
    <col width="44" customWidth="1" min="4" max="4"/>
    <col width="30" customWidth="1" min="5" max="5"/>
    <col width="9" customWidth="1" min="6" max="6"/>
    <col width="20" customWidth="1" min="7" max="7"/>
    <col width="18" customWidth="1" min="8" max="8"/>
    <col width="15" customWidth="1" min="9" max="9"/>
    <col width="26" customWidth="1" min="10" max="10"/>
    <col width="44" customWidth="1" min="11" max="11"/>
    <col width="44" customWidth="1" min="12" max="12"/>
    <col width="40" customWidth="1" min="13" max="13"/>
    <col width="40" customWidth="1" min="14" max="14"/>
    <col width="26" customWidth="1" min="15" max="15"/>
    <col width="26" customWidth="1" min="16" max="16"/>
    <col width="16" customWidth="1" min="17" max="17"/>
    <col width="16" customWidth="1" min="18" max="18"/>
    <col width="16" customWidth="1" min="19" max="19"/>
    <col width="30" customWidth="1" min="20" max="20"/>
  </cols>
  <sheetData>
    <row r="1" ht="30" customHeight="1">
      <c r="A1" s="22" t="inlineStr">
        <is>
          <t>Defect ID</t>
        </is>
      </c>
      <c r="B1" s="22" t="inlineStr">
        <is>
          <t>Date Found</t>
        </is>
      </c>
      <c r="C1" s="22" t="inlineStr">
        <is>
          <t>Test Case ID</t>
        </is>
      </c>
      <c r="D1" s="22" t="inlineStr">
        <is>
          <t>Test Case Title</t>
        </is>
      </c>
      <c r="E1" s="22" t="inlineStr">
        <is>
          <t>Category</t>
        </is>
      </c>
      <c r="F1" s="22" t="inlineStr">
        <is>
          <t>Priority</t>
        </is>
      </c>
      <c r="G1" s="22" t="inlineStr">
        <is>
          <t>Requirement IDs</t>
        </is>
      </c>
      <c r="H1" s="22" t="inlineStr">
        <is>
          <t>Severity</t>
        </is>
      </c>
      <c r="I1" s="22" t="inlineStr">
        <is>
          <t>Status</t>
        </is>
      </c>
      <c r="J1" s="22" t="inlineStr">
        <is>
          <t>Component</t>
        </is>
      </c>
      <c r="K1" s="22" t="inlineStr">
        <is>
          <t>Summary</t>
        </is>
      </c>
      <c r="L1" s="22" t="inlineStr">
        <is>
          <t>Steps to Reproduce</t>
        </is>
      </c>
      <c r="M1" s="22" t="inlineStr">
        <is>
          <t>Expected Result</t>
        </is>
      </c>
      <c r="N1" s="22" t="inlineStr">
        <is>
          <t>Actual Result</t>
        </is>
      </c>
      <c r="O1" s="22" t="inlineStr">
        <is>
          <t>Session ID / Request IDs</t>
        </is>
      </c>
      <c r="P1" s="22" t="inlineStr">
        <is>
          <t>Environment</t>
        </is>
      </c>
      <c r="Q1" s="22" t="inlineStr">
        <is>
          <t>Owner</t>
        </is>
      </c>
      <c r="R1" s="22" t="inlineStr">
        <is>
          <t>Target Fix Version</t>
        </is>
      </c>
      <c r="S1" s="22" t="inlineStr">
        <is>
          <t>Retest Result</t>
        </is>
      </c>
      <c r="T1" s="22" t="inlineStr">
        <is>
          <t>Evidence / Link</t>
        </is>
      </c>
    </row>
    <row r="2">
      <c r="A2" s="24" t="inlineStr"/>
      <c r="B2" s="24" t="inlineStr"/>
      <c r="C2" s="23" t="inlineStr"/>
      <c r="D2" s="29">
        <f>IFERROR(VLOOKUP($C2,'Test Cases'!$A:$H,8,FALSE),"")</f>
        <v/>
      </c>
      <c r="E2" s="29">
        <f>IFERROR(VLOOKUP($C2,'Test Cases'!$A:$G,7,FALSE),"")</f>
        <v/>
      </c>
      <c r="F2" s="30">
        <f>IFERROR(VLOOKUP($C2,'Test Cases'!$A:$I,9,FALSE),"")</f>
        <v/>
      </c>
      <c r="G2" s="29">
        <f>IFERROR(VLOOKUP($C2,'Test Cases'!$A:$K,11,FALSE),"")</f>
        <v/>
      </c>
      <c r="H2" s="24" t="inlineStr"/>
      <c r="I2" s="24" t="inlineStr">
        <is>
          <t>Open</t>
        </is>
      </c>
      <c r="J2" s="24" t="inlineStr"/>
      <c r="K2" s="25" t="inlineStr"/>
      <c r="L2" s="25" t="inlineStr"/>
      <c r="M2" s="25" t="inlineStr"/>
      <c r="N2" s="25" t="inlineStr"/>
      <c r="O2" s="24" t="inlineStr"/>
      <c r="P2" s="25" t="inlineStr"/>
      <c r="Q2" s="24" t="inlineStr"/>
      <c r="R2" s="24" t="inlineStr"/>
      <c r="S2" s="24" t="inlineStr"/>
      <c r="T2" s="25" t="inlineStr"/>
    </row>
    <row r="3">
      <c r="A3" s="24" t="inlineStr"/>
      <c r="B3" s="24" t="inlineStr"/>
      <c r="C3" s="23" t="inlineStr"/>
      <c r="D3" s="29">
        <f>IFERROR(VLOOKUP($C3,'Test Cases'!$A:$H,8,FALSE),"")</f>
        <v/>
      </c>
      <c r="E3" s="29">
        <f>IFERROR(VLOOKUP($C3,'Test Cases'!$A:$G,7,FALSE),"")</f>
        <v/>
      </c>
      <c r="F3" s="30">
        <f>IFERROR(VLOOKUP($C3,'Test Cases'!$A:$I,9,FALSE),"")</f>
        <v/>
      </c>
      <c r="G3" s="29">
        <f>IFERROR(VLOOKUP($C3,'Test Cases'!$A:$K,11,FALSE),"")</f>
        <v/>
      </c>
      <c r="H3" s="24" t="inlineStr"/>
      <c r="I3" s="24" t="inlineStr">
        <is>
          <t>Open</t>
        </is>
      </c>
      <c r="J3" s="24" t="inlineStr"/>
      <c r="K3" s="25" t="inlineStr"/>
      <c r="L3" s="25" t="inlineStr"/>
      <c r="M3" s="25" t="inlineStr"/>
      <c r="N3" s="25" t="inlineStr"/>
      <c r="O3" s="24" t="inlineStr"/>
      <c r="P3" s="25" t="inlineStr"/>
      <c r="Q3" s="24" t="inlineStr"/>
      <c r="R3" s="24" t="inlineStr"/>
      <c r="S3" s="24" t="inlineStr"/>
      <c r="T3" s="25" t="inlineStr"/>
    </row>
    <row r="4">
      <c r="A4" s="24" t="inlineStr"/>
      <c r="B4" s="24" t="inlineStr"/>
      <c r="C4" s="23" t="inlineStr"/>
      <c r="D4" s="29">
        <f>IFERROR(VLOOKUP($C4,'Test Cases'!$A:$H,8,FALSE),"")</f>
        <v/>
      </c>
      <c r="E4" s="29">
        <f>IFERROR(VLOOKUP($C4,'Test Cases'!$A:$G,7,FALSE),"")</f>
        <v/>
      </c>
      <c r="F4" s="30">
        <f>IFERROR(VLOOKUP($C4,'Test Cases'!$A:$I,9,FALSE),"")</f>
        <v/>
      </c>
      <c r="G4" s="29">
        <f>IFERROR(VLOOKUP($C4,'Test Cases'!$A:$K,11,FALSE),"")</f>
        <v/>
      </c>
      <c r="H4" s="24" t="inlineStr"/>
      <c r="I4" s="24" t="inlineStr">
        <is>
          <t>Open</t>
        </is>
      </c>
      <c r="J4" s="24" t="inlineStr"/>
      <c r="K4" s="25" t="inlineStr"/>
      <c r="L4" s="25" t="inlineStr"/>
      <c r="M4" s="25" t="inlineStr"/>
      <c r="N4" s="25" t="inlineStr"/>
      <c r="O4" s="24" t="inlineStr"/>
      <c r="P4" s="25" t="inlineStr"/>
      <c r="Q4" s="24" t="inlineStr"/>
      <c r="R4" s="24" t="inlineStr"/>
      <c r="S4" s="24" t="inlineStr"/>
      <c r="T4" s="25" t="inlineStr"/>
    </row>
    <row r="5">
      <c r="A5" s="24" t="inlineStr"/>
      <c r="B5" s="24" t="inlineStr"/>
      <c r="C5" s="23" t="inlineStr"/>
      <c r="D5" s="29">
        <f>IFERROR(VLOOKUP($C5,'Test Cases'!$A:$H,8,FALSE),"")</f>
        <v/>
      </c>
      <c r="E5" s="29">
        <f>IFERROR(VLOOKUP($C5,'Test Cases'!$A:$G,7,FALSE),"")</f>
        <v/>
      </c>
      <c r="F5" s="30">
        <f>IFERROR(VLOOKUP($C5,'Test Cases'!$A:$I,9,FALSE),"")</f>
        <v/>
      </c>
      <c r="G5" s="29">
        <f>IFERROR(VLOOKUP($C5,'Test Cases'!$A:$K,11,FALSE),"")</f>
        <v/>
      </c>
      <c r="H5" s="24" t="inlineStr"/>
      <c r="I5" s="24" t="inlineStr">
        <is>
          <t>Open</t>
        </is>
      </c>
      <c r="J5" s="24" t="inlineStr"/>
      <c r="K5" s="25" t="inlineStr"/>
      <c r="L5" s="25" t="inlineStr"/>
      <c r="M5" s="25" t="inlineStr"/>
      <c r="N5" s="25" t="inlineStr"/>
      <c r="O5" s="24" t="inlineStr"/>
      <c r="P5" s="25" t="inlineStr"/>
      <c r="Q5" s="24" t="inlineStr"/>
      <c r="R5" s="24" t="inlineStr"/>
      <c r="S5" s="24" t="inlineStr"/>
      <c r="T5" s="25" t="inlineStr"/>
    </row>
    <row r="6">
      <c r="A6" s="24" t="inlineStr"/>
      <c r="B6" s="24" t="inlineStr"/>
      <c r="C6" s="23" t="inlineStr"/>
      <c r="D6" s="29">
        <f>IFERROR(VLOOKUP($C6,'Test Cases'!$A:$H,8,FALSE),"")</f>
        <v/>
      </c>
      <c r="E6" s="29">
        <f>IFERROR(VLOOKUP($C6,'Test Cases'!$A:$G,7,FALSE),"")</f>
        <v/>
      </c>
      <c r="F6" s="30">
        <f>IFERROR(VLOOKUP($C6,'Test Cases'!$A:$I,9,FALSE),"")</f>
        <v/>
      </c>
      <c r="G6" s="29">
        <f>IFERROR(VLOOKUP($C6,'Test Cases'!$A:$K,11,FALSE),"")</f>
        <v/>
      </c>
      <c r="H6" s="24" t="inlineStr"/>
      <c r="I6" s="24" t="inlineStr">
        <is>
          <t>Open</t>
        </is>
      </c>
      <c r="J6" s="24" t="inlineStr"/>
      <c r="K6" s="25" t="inlineStr"/>
      <c r="L6" s="25" t="inlineStr"/>
      <c r="M6" s="25" t="inlineStr"/>
      <c r="N6" s="25" t="inlineStr"/>
      <c r="O6" s="24" t="inlineStr"/>
      <c r="P6" s="25" t="inlineStr"/>
      <c r="Q6" s="24" t="inlineStr"/>
      <c r="R6" s="24" t="inlineStr"/>
      <c r="S6" s="24" t="inlineStr"/>
      <c r="T6" s="25" t="inlineStr"/>
    </row>
    <row r="7">
      <c r="A7" s="24" t="inlineStr"/>
      <c r="B7" s="24" t="inlineStr"/>
      <c r="C7" s="23" t="inlineStr"/>
      <c r="D7" s="29">
        <f>IFERROR(VLOOKUP($C7,'Test Cases'!$A:$H,8,FALSE),"")</f>
        <v/>
      </c>
      <c r="E7" s="29">
        <f>IFERROR(VLOOKUP($C7,'Test Cases'!$A:$G,7,FALSE),"")</f>
        <v/>
      </c>
      <c r="F7" s="30">
        <f>IFERROR(VLOOKUP($C7,'Test Cases'!$A:$I,9,FALSE),"")</f>
        <v/>
      </c>
      <c r="G7" s="29">
        <f>IFERROR(VLOOKUP($C7,'Test Cases'!$A:$K,11,FALSE),"")</f>
        <v/>
      </c>
      <c r="H7" s="24" t="inlineStr"/>
      <c r="I7" s="24" t="inlineStr">
        <is>
          <t>Open</t>
        </is>
      </c>
      <c r="J7" s="24" t="inlineStr"/>
      <c r="K7" s="25" t="inlineStr"/>
      <c r="L7" s="25" t="inlineStr"/>
      <c r="M7" s="25" t="inlineStr"/>
      <c r="N7" s="25" t="inlineStr"/>
      <c r="O7" s="24" t="inlineStr"/>
      <c r="P7" s="25" t="inlineStr"/>
      <c r="Q7" s="24" t="inlineStr"/>
      <c r="R7" s="24" t="inlineStr"/>
      <c r="S7" s="24" t="inlineStr"/>
      <c r="T7" s="25" t="inlineStr"/>
    </row>
    <row r="8">
      <c r="A8" s="24" t="inlineStr"/>
      <c r="B8" s="24" t="inlineStr"/>
      <c r="C8" s="23" t="inlineStr"/>
      <c r="D8" s="29">
        <f>IFERROR(VLOOKUP($C8,'Test Cases'!$A:$H,8,FALSE),"")</f>
        <v/>
      </c>
      <c r="E8" s="29">
        <f>IFERROR(VLOOKUP($C8,'Test Cases'!$A:$G,7,FALSE),"")</f>
        <v/>
      </c>
      <c r="F8" s="30">
        <f>IFERROR(VLOOKUP($C8,'Test Cases'!$A:$I,9,FALSE),"")</f>
        <v/>
      </c>
      <c r="G8" s="29">
        <f>IFERROR(VLOOKUP($C8,'Test Cases'!$A:$K,11,FALSE),"")</f>
        <v/>
      </c>
      <c r="H8" s="24" t="inlineStr"/>
      <c r="I8" s="24" t="inlineStr">
        <is>
          <t>Open</t>
        </is>
      </c>
      <c r="J8" s="24" t="inlineStr"/>
      <c r="K8" s="25" t="inlineStr"/>
      <c r="L8" s="25" t="inlineStr"/>
      <c r="M8" s="25" t="inlineStr"/>
      <c r="N8" s="25" t="inlineStr"/>
      <c r="O8" s="24" t="inlineStr"/>
      <c r="P8" s="25" t="inlineStr"/>
      <c r="Q8" s="24" t="inlineStr"/>
      <c r="R8" s="24" t="inlineStr"/>
      <c r="S8" s="24" t="inlineStr"/>
      <c r="T8" s="25" t="inlineStr"/>
    </row>
    <row r="9">
      <c r="A9" s="24" t="inlineStr"/>
      <c r="B9" s="24" t="inlineStr"/>
      <c r="C9" s="23" t="inlineStr"/>
      <c r="D9" s="29">
        <f>IFERROR(VLOOKUP($C9,'Test Cases'!$A:$H,8,FALSE),"")</f>
        <v/>
      </c>
      <c r="E9" s="29">
        <f>IFERROR(VLOOKUP($C9,'Test Cases'!$A:$G,7,FALSE),"")</f>
        <v/>
      </c>
      <c r="F9" s="30">
        <f>IFERROR(VLOOKUP($C9,'Test Cases'!$A:$I,9,FALSE),"")</f>
        <v/>
      </c>
      <c r="G9" s="29">
        <f>IFERROR(VLOOKUP($C9,'Test Cases'!$A:$K,11,FALSE),"")</f>
        <v/>
      </c>
      <c r="H9" s="24" t="inlineStr"/>
      <c r="I9" s="24" t="inlineStr">
        <is>
          <t>Open</t>
        </is>
      </c>
      <c r="J9" s="24" t="inlineStr"/>
      <c r="K9" s="25" t="inlineStr"/>
      <c r="L9" s="25" t="inlineStr"/>
      <c r="M9" s="25" t="inlineStr"/>
      <c r="N9" s="25" t="inlineStr"/>
      <c r="O9" s="24" t="inlineStr"/>
      <c r="P9" s="25" t="inlineStr"/>
      <c r="Q9" s="24" t="inlineStr"/>
      <c r="R9" s="24" t="inlineStr"/>
      <c r="S9" s="24" t="inlineStr"/>
      <c r="T9" s="25" t="inlineStr"/>
    </row>
    <row r="10">
      <c r="A10" s="24" t="inlineStr"/>
      <c r="B10" s="24" t="inlineStr"/>
      <c r="C10" s="23" t="inlineStr"/>
      <c r="D10" s="29">
        <f>IFERROR(VLOOKUP($C10,'Test Cases'!$A:$H,8,FALSE),"")</f>
        <v/>
      </c>
      <c r="E10" s="29">
        <f>IFERROR(VLOOKUP($C10,'Test Cases'!$A:$G,7,FALSE),"")</f>
        <v/>
      </c>
      <c r="F10" s="30">
        <f>IFERROR(VLOOKUP($C10,'Test Cases'!$A:$I,9,FALSE),"")</f>
        <v/>
      </c>
      <c r="G10" s="29">
        <f>IFERROR(VLOOKUP($C10,'Test Cases'!$A:$K,11,FALSE),"")</f>
        <v/>
      </c>
      <c r="H10" s="24" t="inlineStr"/>
      <c r="I10" s="24" t="inlineStr">
        <is>
          <t>Open</t>
        </is>
      </c>
      <c r="J10" s="24" t="inlineStr"/>
      <c r="K10" s="25" t="inlineStr"/>
      <c r="L10" s="25" t="inlineStr"/>
      <c r="M10" s="25" t="inlineStr"/>
      <c r="N10" s="25" t="inlineStr"/>
      <c r="O10" s="24" t="inlineStr"/>
      <c r="P10" s="25" t="inlineStr"/>
      <c r="Q10" s="24" t="inlineStr"/>
      <c r="R10" s="24" t="inlineStr"/>
      <c r="S10" s="24" t="inlineStr"/>
      <c r="T10" s="25" t="inlineStr"/>
    </row>
    <row r="11">
      <c r="A11" s="24" t="inlineStr"/>
      <c r="B11" s="24" t="inlineStr"/>
      <c r="C11" s="23" t="inlineStr"/>
      <c r="D11" s="29">
        <f>IFERROR(VLOOKUP($C11,'Test Cases'!$A:$H,8,FALSE),"")</f>
        <v/>
      </c>
      <c r="E11" s="29">
        <f>IFERROR(VLOOKUP($C11,'Test Cases'!$A:$G,7,FALSE),"")</f>
        <v/>
      </c>
      <c r="F11" s="30">
        <f>IFERROR(VLOOKUP($C11,'Test Cases'!$A:$I,9,FALSE),"")</f>
        <v/>
      </c>
      <c r="G11" s="29">
        <f>IFERROR(VLOOKUP($C11,'Test Cases'!$A:$K,11,FALSE),"")</f>
        <v/>
      </c>
      <c r="H11" s="24" t="inlineStr"/>
      <c r="I11" s="24" t="inlineStr">
        <is>
          <t>Open</t>
        </is>
      </c>
      <c r="J11" s="24" t="inlineStr"/>
      <c r="K11" s="25" t="inlineStr"/>
      <c r="L11" s="25" t="inlineStr"/>
      <c r="M11" s="25" t="inlineStr"/>
      <c r="N11" s="25" t="inlineStr"/>
      <c r="O11" s="24" t="inlineStr"/>
      <c r="P11" s="25" t="inlineStr"/>
      <c r="Q11" s="24" t="inlineStr"/>
      <c r="R11" s="24" t="inlineStr"/>
      <c r="S11" s="24" t="inlineStr"/>
      <c r="T11" s="25" t="inlineStr"/>
    </row>
    <row r="12">
      <c r="A12" s="24" t="inlineStr"/>
      <c r="B12" s="24" t="inlineStr"/>
      <c r="C12" s="23" t="inlineStr"/>
      <c r="D12" s="29">
        <f>IFERROR(VLOOKUP($C12,'Test Cases'!$A:$H,8,FALSE),"")</f>
        <v/>
      </c>
      <c r="E12" s="29">
        <f>IFERROR(VLOOKUP($C12,'Test Cases'!$A:$G,7,FALSE),"")</f>
        <v/>
      </c>
      <c r="F12" s="30">
        <f>IFERROR(VLOOKUP($C12,'Test Cases'!$A:$I,9,FALSE),"")</f>
        <v/>
      </c>
      <c r="G12" s="29">
        <f>IFERROR(VLOOKUP($C12,'Test Cases'!$A:$K,11,FALSE),"")</f>
        <v/>
      </c>
      <c r="H12" s="24" t="inlineStr"/>
      <c r="I12" s="24" t="inlineStr">
        <is>
          <t>Open</t>
        </is>
      </c>
      <c r="J12" s="24" t="inlineStr"/>
      <c r="K12" s="25" t="inlineStr"/>
      <c r="L12" s="25" t="inlineStr"/>
      <c r="M12" s="25" t="inlineStr"/>
      <c r="N12" s="25" t="inlineStr"/>
      <c r="O12" s="24" t="inlineStr"/>
      <c r="P12" s="25" t="inlineStr"/>
      <c r="Q12" s="24" t="inlineStr"/>
      <c r="R12" s="24" t="inlineStr"/>
      <c r="S12" s="24" t="inlineStr"/>
      <c r="T12" s="25" t="inlineStr"/>
    </row>
    <row r="13">
      <c r="A13" s="24" t="inlineStr"/>
      <c r="B13" s="24" t="inlineStr"/>
      <c r="C13" s="23" t="inlineStr"/>
      <c r="D13" s="29">
        <f>IFERROR(VLOOKUP($C13,'Test Cases'!$A:$H,8,FALSE),"")</f>
        <v/>
      </c>
      <c r="E13" s="29">
        <f>IFERROR(VLOOKUP($C13,'Test Cases'!$A:$G,7,FALSE),"")</f>
        <v/>
      </c>
      <c r="F13" s="30">
        <f>IFERROR(VLOOKUP($C13,'Test Cases'!$A:$I,9,FALSE),"")</f>
        <v/>
      </c>
      <c r="G13" s="29">
        <f>IFERROR(VLOOKUP($C13,'Test Cases'!$A:$K,11,FALSE),"")</f>
        <v/>
      </c>
      <c r="H13" s="24" t="inlineStr"/>
      <c r="I13" s="24" t="inlineStr">
        <is>
          <t>Open</t>
        </is>
      </c>
      <c r="J13" s="24" t="inlineStr"/>
      <c r="K13" s="25" t="inlineStr"/>
      <c r="L13" s="25" t="inlineStr"/>
      <c r="M13" s="25" t="inlineStr"/>
      <c r="N13" s="25" t="inlineStr"/>
      <c r="O13" s="24" t="inlineStr"/>
      <c r="P13" s="25" t="inlineStr"/>
      <c r="Q13" s="24" t="inlineStr"/>
      <c r="R13" s="24" t="inlineStr"/>
      <c r="S13" s="24" t="inlineStr"/>
      <c r="T13" s="25" t="inlineStr"/>
    </row>
    <row r="14">
      <c r="A14" s="24" t="inlineStr"/>
      <c r="B14" s="24" t="inlineStr"/>
      <c r="C14" s="23" t="inlineStr"/>
      <c r="D14" s="29">
        <f>IFERROR(VLOOKUP($C14,'Test Cases'!$A:$H,8,FALSE),"")</f>
        <v/>
      </c>
      <c r="E14" s="29">
        <f>IFERROR(VLOOKUP($C14,'Test Cases'!$A:$G,7,FALSE),"")</f>
        <v/>
      </c>
      <c r="F14" s="30">
        <f>IFERROR(VLOOKUP($C14,'Test Cases'!$A:$I,9,FALSE),"")</f>
        <v/>
      </c>
      <c r="G14" s="29">
        <f>IFERROR(VLOOKUP($C14,'Test Cases'!$A:$K,11,FALSE),"")</f>
        <v/>
      </c>
      <c r="H14" s="24" t="inlineStr"/>
      <c r="I14" s="24" t="inlineStr">
        <is>
          <t>Open</t>
        </is>
      </c>
      <c r="J14" s="24" t="inlineStr"/>
      <c r="K14" s="25" t="inlineStr"/>
      <c r="L14" s="25" t="inlineStr"/>
      <c r="M14" s="25" t="inlineStr"/>
      <c r="N14" s="25" t="inlineStr"/>
      <c r="O14" s="24" t="inlineStr"/>
      <c r="P14" s="25" t="inlineStr"/>
      <c r="Q14" s="24" t="inlineStr"/>
      <c r="R14" s="24" t="inlineStr"/>
      <c r="S14" s="24" t="inlineStr"/>
      <c r="T14" s="25" t="inlineStr"/>
    </row>
    <row r="15">
      <c r="A15" s="24" t="inlineStr"/>
      <c r="B15" s="24" t="inlineStr"/>
      <c r="C15" s="23" t="inlineStr"/>
      <c r="D15" s="29">
        <f>IFERROR(VLOOKUP($C15,'Test Cases'!$A:$H,8,FALSE),"")</f>
        <v/>
      </c>
      <c r="E15" s="29">
        <f>IFERROR(VLOOKUP($C15,'Test Cases'!$A:$G,7,FALSE),"")</f>
        <v/>
      </c>
      <c r="F15" s="30">
        <f>IFERROR(VLOOKUP($C15,'Test Cases'!$A:$I,9,FALSE),"")</f>
        <v/>
      </c>
      <c r="G15" s="29">
        <f>IFERROR(VLOOKUP($C15,'Test Cases'!$A:$K,11,FALSE),"")</f>
        <v/>
      </c>
      <c r="H15" s="24" t="inlineStr"/>
      <c r="I15" s="24" t="inlineStr">
        <is>
          <t>Open</t>
        </is>
      </c>
      <c r="J15" s="24" t="inlineStr"/>
      <c r="K15" s="25" t="inlineStr"/>
      <c r="L15" s="25" t="inlineStr"/>
      <c r="M15" s="25" t="inlineStr"/>
      <c r="N15" s="25" t="inlineStr"/>
      <c r="O15" s="24" t="inlineStr"/>
      <c r="P15" s="25" t="inlineStr"/>
      <c r="Q15" s="24" t="inlineStr"/>
      <c r="R15" s="24" t="inlineStr"/>
      <c r="S15" s="24" t="inlineStr"/>
      <c r="T15" s="25" t="inlineStr"/>
    </row>
    <row r="16">
      <c r="A16" s="24" t="inlineStr"/>
      <c r="B16" s="24" t="inlineStr"/>
      <c r="C16" s="23" t="inlineStr"/>
      <c r="D16" s="29">
        <f>IFERROR(VLOOKUP($C16,'Test Cases'!$A:$H,8,FALSE),"")</f>
        <v/>
      </c>
      <c r="E16" s="29">
        <f>IFERROR(VLOOKUP($C16,'Test Cases'!$A:$G,7,FALSE),"")</f>
        <v/>
      </c>
      <c r="F16" s="30">
        <f>IFERROR(VLOOKUP($C16,'Test Cases'!$A:$I,9,FALSE),"")</f>
        <v/>
      </c>
      <c r="G16" s="29">
        <f>IFERROR(VLOOKUP($C16,'Test Cases'!$A:$K,11,FALSE),"")</f>
        <v/>
      </c>
      <c r="H16" s="24" t="inlineStr"/>
      <c r="I16" s="24" t="inlineStr">
        <is>
          <t>Open</t>
        </is>
      </c>
      <c r="J16" s="24" t="inlineStr"/>
      <c r="K16" s="25" t="inlineStr"/>
      <c r="L16" s="25" t="inlineStr"/>
      <c r="M16" s="25" t="inlineStr"/>
      <c r="N16" s="25" t="inlineStr"/>
      <c r="O16" s="24" t="inlineStr"/>
      <c r="P16" s="25" t="inlineStr"/>
      <c r="Q16" s="24" t="inlineStr"/>
      <c r="R16" s="24" t="inlineStr"/>
      <c r="S16" s="24" t="inlineStr"/>
      <c r="T16" s="25" t="inlineStr"/>
    </row>
    <row r="17">
      <c r="A17" s="24" t="inlineStr"/>
      <c r="B17" s="24" t="inlineStr"/>
      <c r="C17" s="23" t="inlineStr"/>
      <c r="D17" s="29">
        <f>IFERROR(VLOOKUP($C17,'Test Cases'!$A:$H,8,FALSE),"")</f>
        <v/>
      </c>
      <c r="E17" s="29">
        <f>IFERROR(VLOOKUP($C17,'Test Cases'!$A:$G,7,FALSE),"")</f>
        <v/>
      </c>
      <c r="F17" s="30">
        <f>IFERROR(VLOOKUP($C17,'Test Cases'!$A:$I,9,FALSE),"")</f>
        <v/>
      </c>
      <c r="G17" s="29">
        <f>IFERROR(VLOOKUP($C17,'Test Cases'!$A:$K,11,FALSE),"")</f>
        <v/>
      </c>
      <c r="H17" s="24" t="inlineStr"/>
      <c r="I17" s="24" t="inlineStr">
        <is>
          <t>Open</t>
        </is>
      </c>
      <c r="J17" s="24" t="inlineStr"/>
      <c r="K17" s="25" t="inlineStr"/>
      <c r="L17" s="25" t="inlineStr"/>
      <c r="M17" s="25" t="inlineStr"/>
      <c r="N17" s="25" t="inlineStr"/>
      <c r="O17" s="24" t="inlineStr"/>
      <c r="P17" s="25" t="inlineStr"/>
      <c r="Q17" s="24" t="inlineStr"/>
      <c r="R17" s="24" t="inlineStr"/>
      <c r="S17" s="24" t="inlineStr"/>
      <c r="T17" s="25" t="inlineStr"/>
    </row>
    <row r="18">
      <c r="A18" s="24" t="inlineStr"/>
      <c r="B18" s="24" t="inlineStr"/>
      <c r="C18" s="23" t="inlineStr"/>
      <c r="D18" s="29">
        <f>IFERROR(VLOOKUP($C18,'Test Cases'!$A:$H,8,FALSE),"")</f>
        <v/>
      </c>
      <c r="E18" s="29">
        <f>IFERROR(VLOOKUP($C18,'Test Cases'!$A:$G,7,FALSE),"")</f>
        <v/>
      </c>
      <c r="F18" s="30">
        <f>IFERROR(VLOOKUP($C18,'Test Cases'!$A:$I,9,FALSE),"")</f>
        <v/>
      </c>
      <c r="G18" s="29">
        <f>IFERROR(VLOOKUP($C18,'Test Cases'!$A:$K,11,FALSE),"")</f>
        <v/>
      </c>
      <c r="H18" s="24" t="inlineStr"/>
      <c r="I18" s="24" t="inlineStr">
        <is>
          <t>Open</t>
        </is>
      </c>
      <c r="J18" s="24" t="inlineStr"/>
      <c r="K18" s="25" t="inlineStr"/>
      <c r="L18" s="25" t="inlineStr"/>
      <c r="M18" s="25" t="inlineStr"/>
      <c r="N18" s="25" t="inlineStr"/>
      <c r="O18" s="24" t="inlineStr"/>
      <c r="P18" s="25" t="inlineStr"/>
      <c r="Q18" s="24" t="inlineStr"/>
      <c r="R18" s="24" t="inlineStr"/>
      <c r="S18" s="24" t="inlineStr"/>
      <c r="T18" s="25" t="inlineStr"/>
    </row>
    <row r="19">
      <c r="A19" s="24" t="inlineStr"/>
      <c r="B19" s="24" t="inlineStr"/>
      <c r="C19" s="23" t="inlineStr"/>
      <c r="D19" s="29">
        <f>IFERROR(VLOOKUP($C19,'Test Cases'!$A:$H,8,FALSE),"")</f>
        <v/>
      </c>
      <c r="E19" s="29">
        <f>IFERROR(VLOOKUP($C19,'Test Cases'!$A:$G,7,FALSE),"")</f>
        <v/>
      </c>
      <c r="F19" s="30">
        <f>IFERROR(VLOOKUP($C19,'Test Cases'!$A:$I,9,FALSE),"")</f>
        <v/>
      </c>
      <c r="G19" s="29">
        <f>IFERROR(VLOOKUP($C19,'Test Cases'!$A:$K,11,FALSE),"")</f>
        <v/>
      </c>
      <c r="H19" s="24" t="inlineStr"/>
      <c r="I19" s="24" t="inlineStr">
        <is>
          <t>Open</t>
        </is>
      </c>
      <c r="J19" s="24" t="inlineStr"/>
      <c r="K19" s="25" t="inlineStr"/>
      <c r="L19" s="25" t="inlineStr"/>
      <c r="M19" s="25" t="inlineStr"/>
      <c r="N19" s="25" t="inlineStr"/>
      <c r="O19" s="24" t="inlineStr"/>
      <c r="P19" s="25" t="inlineStr"/>
      <c r="Q19" s="24" t="inlineStr"/>
      <c r="R19" s="24" t="inlineStr"/>
      <c r="S19" s="24" t="inlineStr"/>
      <c r="T19" s="25" t="inlineStr"/>
    </row>
    <row r="20">
      <c r="A20" s="24" t="inlineStr"/>
      <c r="B20" s="24" t="inlineStr"/>
      <c r="C20" s="23" t="inlineStr"/>
      <c r="D20" s="29">
        <f>IFERROR(VLOOKUP($C20,'Test Cases'!$A:$H,8,FALSE),"")</f>
        <v/>
      </c>
      <c r="E20" s="29">
        <f>IFERROR(VLOOKUP($C20,'Test Cases'!$A:$G,7,FALSE),"")</f>
        <v/>
      </c>
      <c r="F20" s="30">
        <f>IFERROR(VLOOKUP($C20,'Test Cases'!$A:$I,9,FALSE),"")</f>
        <v/>
      </c>
      <c r="G20" s="29">
        <f>IFERROR(VLOOKUP($C20,'Test Cases'!$A:$K,11,FALSE),"")</f>
        <v/>
      </c>
      <c r="H20" s="24" t="inlineStr"/>
      <c r="I20" s="24" t="inlineStr">
        <is>
          <t>Open</t>
        </is>
      </c>
      <c r="J20" s="24" t="inlineStr"/>
      <c r="K20" s="25" t="inlineStr"/>
      <c r="L20" s="25" t="inlineStr"/>
      <c r="M20" s="25" t="inlineStr"/>
      <c r="N20" s="25" t="inlineStr"/>
      <c r="O20" s="24" t="inlineStr"/>
      <c r="P20" s="25" t="inlineStr"/>
      <c r="Q20" s="24" t="inlineStr"/>
      <c r="R20" s="24" t="inlineStr"/>
      <c r="S20" s="24" t="inlineStr"/>
      <c r="T20" s="25" t="inlineStr"/>
    </row>
    <row r="21">
      <c r="A21" s="24" t="inlineStr"/>
      <c r="B21" s="24" t="inlineStr"/>
      <c r="C21" s="23" t="inlineStr"/>
      <c r="D21" s="29">
        <f>IFERROR(VLOOKUP($C21,'Test Cases'!$A:$H,8,FALSE),"")</f>
        <v/>
      </c>
      <c r="E21" s="29">
        <f>IFERROR(VLOOKUP($C21,'Test Cases'!$A:$G,7,FALSE),"")</f>
        <v/>
      </c>
      <c r="F21" s="30">
        <f>IFERROR(VLOOKUP($C21,'Test Cases'!$A:$I,9,FALSE),"")</f>
        <v/>
      </c>
      <c r="G21" s="29">
        <f>IFERROR(VLOOKUP($C21,'Test Cases'!$A:$K,11,FALSE),"")</f>
        <v/>
      </c>
      <c r="H21" s="24" t="inlineStr"/>
      <c r="I21" s="24" t="inlineStr">
        <is>
          <t>Open</t>
        </is>
      </c>
      <c r="J21" s="24" t="inlineStr"/>
      <c r="K21" s="25" t="inlineStr"/>
      <c r="L21" s="25" t="inlineStr"/>
      <c r="M21" s="25" t="inlineStr"/>
      <c r="N21" s="25" t="inlineStr"/>
      <c r="O21" s="24" t="inlineStr"/>
      <c r="P21" s="25" t="inlineStr"/>
      <c r="Q21" s="24" t="inlineStr"/>
      <c r="R21" s="24" t="inlineStr"/>
      <c r="S21" s="24" t="inlineStr"/>
      <c r="T21" s="25" t="inlineStr"/>
    </row>
    <row r="22">
      <c r="A22" s="24" t="inlineStr"/>
      <c r="B22" s="24" t="inlineStr"/>
      <c r="C22" s="23" t="inlineStr"/>
      <c r="D22" s="29">
        <f>IFERROR(VLOOKUP($C22,'Test Cases'!$A:$H,8,FALSE),"")</f>
        <v/>
      </c>
      <c r="E22" s="29">
        <f>IFERROR(VLOOKUP($C22,'Test Cases'!$A:$G,7,FALSE),"")</f>
        <v/>
      </c>
      <c r="F22" s="30">
        <f>IFERROR(VLOOKUP($C22,'Test Cases'!$A:$I,9,FALSE),"")</f>
        <v/>
      </c>
      <c r="G22" s="29">
        <f>IFERROR(VLOOKUP($C22,'Test Cases'!$A:$K,11,FALSE),"")</f>
        <v/>
      </c>
      <c r="H22" s="24" t="inlineStr"/>
      <c r="I22" s="24" t="inlineStr">
        <is>
          <t>Open</t>
        </is>
      </c>
      <c r="J22" s="24" t="inlineStr"/>
      <c r="K22" s="25" t="inlineStr"/>
      <c r="L22" s="25" t="inlineStr"/>
      <c r="M22" s="25" t="inlineStr"/>
      <c r="N22" s="25" t="inlineStr"/>
      <c r="O22" s="24" t="inlineStr"/>
      <c r="P22" s="25" t="inlineStr"/>
      <c r="Q22" s="24" t="inlineStr"/>
      <c r="R22" s="24" t="inlineStr"/>
      <c r="S22" s="24" t="inlineStr"/>
      <c r="T22" s="25" t="inlineStr"/>
    </row>
    <row r="23">
      <c r="A23" s="24" t="inlineStr"/>
      <c r="B23" s="24" t="inlineStr"/>
      <c r="C23" s="23" t="inlineStr"/>
      <c r="D23" s="29">
        <f>IFERROR(VLOOKUP($C23,'Test Cases'!$A:$H,8,FALSE),"")</f>
        <v/>
      </c>
      <c r="E23" s="29">
        <f>IFERROR(VLOOKUP($C23,'Test Cases'!$A:$G,7,FALSE),"")</f>
        <v/>
      </c>
      <c r="F23" s="30">
        <f>IFERROR(VLOOKUP($C23,'Test Cases'!$A:$I,9,FALSE),"")</f>
        <v/>
      </c>
      <c r="G23" s="29">
        <f>IFERROR(VLOOKUP($C23,'Test Cases'!$A:$K,11,FALSE),"")</f>
        <v/>
      </c>
      <c r="H23" s="24" t="inlineStr"/>
      <c r="I23" s="24" t="inlineStr">
        <is>
          <t>Open</t>
        </is>
      </c>
      <c r="J23" s="24" t="inlineStr"/>
      <c r="K23" s="25" t="inlineStr"/>
      <c r="L23" s="25" t="inlineStr"/>
      <c r="M23" s="25" t="inlineStr"/>
      <c r="N23" s="25" t="inlineStr"/>
      <c r="O23" s="24" t="inlineStr"/>
      <c r="P23" s="25" t="inlineStr"/>
      <c r="Q23" s="24" t="inlineStr"/>
      <c r="R23" s="24" t="inlineStr"/>
      <c r="S23" s="24" t="inlineStr"/>
      <c r="T23" s="25" t="inlineStr"/>
    </row>
    <row r="24">
      <c r="A24" s="24" t="inlineStr"/>
      <c r="B24" s="24" t="inlineStr"/>
      <c r="C24" s="23" t="inlineStr"/>
      <c r="D24" s="29">
        <f>IFERROR(VLOOKUP($C24,'Test Cases'!$A:$H,8,FALSE),"")</f>
        <v/>
      </c>
      <c r="E24" s="29">
        <f>IFERROR(VLOOKUP($C24,'Test Cases'!$A:$G,7,FALSE),"")</f>
        <v/>
      </c>
      <c r="F24" s="30">
        <f>IFERROR(VLOOKUP($C24,'Test Cases'!$A:$I,9,FALSE),"")</f>
        <v/>
      </c>
      <c r="G24" s="29">
        <f>IFERROR(VLOOKUP($C24,'Test Cases'!$A:$K,11,FALSE),"")</f>
        <v/>
      </c>
      <c r="H24" s="24" t="inlineStr"/>
      <c r="I24" s="24" t="inlineStr">
        <is>
          <t>Open</t>
        </is>
      </c>
      <c r="J24" s="24" t="inlineStr"/>
      <c r="K24" s="25" t="inlineStr"/>
      <c r="L24" s="25" t="inlineStr"/>
      <c r="M24" s="25" t="inlineStr"/>
      <c r="N24" s="25" t="inlineStr"/>
      <c r="O24" s="24" t="inlineStr"/>
      <c r="P24" s="25" t="inlineStr"/>
      <c r="Q24" s="24" t="inlineStr"/>
      <c r="R24" s="24" t="inlineStr"/>
      <c r="S24" s="24" t="inlineStr"/>
      <c r="T24" s="25" t="inlineStr"/>
    </row>
    <row r="25">
      <c r="A25" s="24" t="inlineStr"/>
      <c r="B25" s="24" t="inlineStr"/>
      <c r="C25" s="23" t="inlineStr"/>
      <c r="D25" s="29">
        <f>IFERROR(VLOOKUP($C25,'Test Cases'!$A:$H,8,FALSE),"")</f>
        <v/>
      </c>
      <c r="E25" s="29">
        <f>IFERROR(VLOOKUP($C25,'Test Cases'!$A:$G,7,FALSE),"")</f>
        <v/>
      </c>
      <c r="F25" s="30">
        <f>IFERROR(VLOOKUP($C25,'Test Cases'!$A:$I,9,FALSE),"")</f>
        <v/>
      </c>
      <c r="G25" s="29">
        <f>IFERROR(VLOOKUP($C25,'Test Cases'!$A:$K,11,FALSE),"")</f>
        <v/>
      </c>
      <c r="H25" s="24" t="inlineStr"/>
      <c r="I25" s="24" t="inlineStr">
        <is>
          <t>Open</t>
        </is>
      </c>
      <c r="J25" s="24" t="inlineStr"/>
      <c r="K25" s="25" t="inlineStr"/>
      <c r="L25" s="25" t="inlineStr"/>
      <c r="M25" s="25" t="inlineStr"/>
      <c r="N25" s="25" t="inlineStr"/>
      <c r="O25" s="24" t="inlineStr"/>
      <c r="P25" s="25" t="inlineStr"/>
      <c r="Q25" s="24" t="inlineStr"/>
      <c r="R25" s="24" t="inlineStr"/>
      <c r="S25" s="24" t="inlineStr"/>
      <c r="T25" s="25" t="inlineStr"/>
    </row>
    <row r="26">
      <c r="A26" s="24" t="inlineStr"/>
      <c r="B26" s="24" t="inlineStr"/>
      <c r="C26" s="23" t="inlineStr"/>
      <c r="D26" s="29">
        <f>IFERROR(VLOOKUP($C26,'Test Cases'!$A:$H,8,FALSE),"")</f>
        <v/>
      </c>
      <c r="E26" s="29">
        <f>IFERROR(VLOOKUP($C26,'Test Cases'!$A:$G,7,FALSE),"")</f>
        <v/>
      </c>
      <c r="F26" s="30">
        <f>IFERROR(VLOOKUP($C26,'Test Cases'!$A:$I,9,FALSE),"")</f>
        <v/>
      </c>
      <c r="G26" s="29">
        <f>IFERROR(VLOOKUP($C26,'Test Cases'!$A:$K,11,FALSE),"")</f>
        <v/>
      </c>
      <c r="H26" s="24" t="inlineStr"/>
      <c r="I26" s="24" t="inlineStr">
        <is>
          <t>Open</t>
        </is>
      </c>
      <c r="J26" s="24" t="inlineStr"/>
      <c r="K26" s="25" t="inlineStr"/>
      <c r="L26" s="25" t="inlineStr"/>
      <c r="M26" s="25" t="inlineStr"/>
      <c r="N26" s="25" t="inlineStr"/>
      <c r="O26" s="24" t="inlineStr"/>
      <c r="P26" s="25" t="inlineStr"/>
      <c r="Q26" s="24" t="inlineStr"/>
      <c r="R26" s="24" t="inlineStr"/>
      <c r="S26" s="24" t="inlineStr"/>
      <c r="T26" s="25" t="inlineStr"/>
    </row>
    <row r="27">
      <c r="A27" s="24" t="inlineStr"/>
      <c r="B27" s="24" t="inlineStr"/>
      <c r="C27" s="23" t="inlineStr"/>
      <c r="D27" s="29">
        <f>IFERROR(VLOOKUP($C27,'Test Cases'!$A:$H,8,FALSE),"")</f>
        <v/>
      </c>
      <c r="E27" s="29">
        <f>IFERROR(VLOOKUP($C27,'Test Cases'!$A:$G,7,FALSE),"")</f>
        <v/>
      </c>
      <c r="F27" s="30">
        <f>IFERROR(VLOOKUP($C27,'Test Cases'!$A:$I,9,FALSE),"")</f>
        <v/>
      </c>
      <c r="G27" s="29">
        <f>IFERROR(VLOOKUP($C27,'Test Cases'!$A:$K,11,FALSE),"")</f>
        <v/>
      </c>
      <c r="H27" s="24" t="inlineStr"/>
      <c r="I27" s="24" t="inlineStr">
        <is>
          <t>Open</t>
        </is>
      </c>
      <c r="J27" s="24" t="inlineStr"/>
      <c r="K27" s="25" t="inlineStr"/>
      <c r="L27" s="25" t="inlineStr"/>
      <c r="M27" s="25" t="inlineStr"/>
      <c r="N27" s="25" t="inlineStr"/>
      <c r="O27" s="24" t="inlineStr"/>
      <c r="P27" s="25" t="inlineStr"/>
      <c r="Q27" s="24" t="inlineStr"/>
      <c r="R27" s="24" t="inlineStr"/>
      <c r="S27" s="24" t="inlineStr"/>
      <c r="T27" s="25" t="inlineStr"/>
    </row>
    <row r="28">
      <c r="A28" s="24" t="inlineStr"/>
      <c r="B28" s="24" t="inlineStr"/>
      <c r="C28" s="23" t="inlineStr"/>
      <c r="D28" s="29">
        <f>IFERROR(VLOOKUP($C28,'Test Cases'!$A:$H,8,FALSE),"")</f>
        <v/>
      </c>
      <c r="E28" s="29">
        <f>IFERROR(VLOOKUP($C28,'Test Cases'!$A:$G,7,FALSE),"")</f>
        <v/>
      </c>
      <c r="F28" s="30">
        <f>IFERROR(VLOOKUP($C28,'Test Cases'!$A:$I,9,FALSE),"")</f>
        <v/>
      </c>
      <c r="G28" s="29">
        <f>IFERROR(VLOOKUP($C28,'Test Cases'!$A:$K,11,FALSE),"")</f>
        <v/>
      </c>
      <c r="H28" s="24" t="inlineStr"/>
      <c r="I28" s="24" t="inlineStr">
        <is>
          <t>Open</t>
        </is>
      </c>
      <c r="J28" s="24" t="inlineStr"/>
      <c r="K28" s="25" t="inlineStr"/>
      <c r="L28" s="25" t="inlineStr"/>
      <c r="M28" s="25" t="inlineStr"/>
      <c r="N28" s="25" t="inlineStr"/>
      <c r="O28" s="24" t="inlineStr"/>
      <c r="P28" s="25" t="inlineStr"/>
      <c r="Q28" s="24" t="inlineStr"/>
      <c r="R28" s="24" t="inlineStr"/>
      <c r="S28" s="24" t="inlineStr"/>
      <c r="T28" s="25" t="inlineStr"/>
    </row>
    <row r="29">
      <c r="A29" s="24" t="inlineStr"/>
      <c r="B29" s="24" t="inlineStr"/>
      <c r="C29" s="23" t="inlineStr"/>
      <c r="D29" s="29">
        <f>IFERROR(VLOOKUP($C29,'Test Cases'!$A:$H,8,FALSE),"")</f>
        <v/>
      </c>
      <c r="E29" s="29">
        <f>IFERROR(VLOOKUP($C29,'Test Cases'!$A:$G,7,FALSE),"")</f>
        <v/>
      </c>
      <c r="F29" s="30">
        <f>IFERROR(VLOOKUP($C29,'Test Cases'!$A:$I,9,FALSE),"")</f>
        <v/>
      </c>
      <c r="G29" s="29">
        <f>IFERROR(VLOOKUP($C29,'Test Cases'!$A:$K,11,FALSE),"")</f>
        <v/>
      </c>
      <c r="H29" s="24" t="inlineStr"/>
      <c r="I29" s="24" t="inlineStr">
        <is>
          <t>Open</t>
        </is>
      </c>
      <c r="J29" s="24" t="inlineStr"/>
      <c r="K29" s="25" t="inlineStr"/>
      <c r="L29" s="25" t="inlineStr"/>
      <c r="M29" s="25" t="inlineStr"/>
      <c r="N29" s="25" t="inlineStr"/>
      <c r="O29" s="24" t="inlineStr"/>
      <c r="P29" s="25" t="inlineStr"/>
      <c r="Q29" s="24" t="inlineStr"/>
      <c r="R29" s="24" t="inlineStr"/>
      <c r="S29" s="24" t="inlineStr"/>
      <c r="T29" s="25" t="inlineStr"/>
    </row>
    <row r="30">
      <c r="A30" s="24" t="inlineStr"/>
      <c r="B30" s="24" t="inlineStr"/>
      <c r="C30" s="23" t="inlineStr"/>
      <c r="D30" s="29">
        <f>IFERROR(VLOOKUP($C30,'Test Cases'!$A:$H,8,FALSE),"")</f>
        <v/>
      </c>
      <c r="E30" s="29">
        <f>IFERROR(VLOOKUP($C30,'Test Cases'!$A:$G,7,FALSE),"")</f>
        <v/>
      </c>
      <c r="F30" s="30">
        <f>IFERROR(VLOOKUP($C30,'Test Cases'!$A:$I,9,FALSE),"")</f>
        <v/>
      </c>
      <c r="G30" s="29">
        <f>IFERROR(VLOOKUP($C30,'Test Cases'!$A:$K,11,FALSE),"")</f>
        <v/>
      </c>
      <c r="H30" s="24" t="inlineStr"/>
      <c r="I30" s="24" t="inlineStr">
        <is>
          <t>Open</t>
        </is>
      </c>
      <c r="J30" s="24" t="inlineStr"/>
      <c r="K30" s="25" t="inlineStr"/>
      <c r="L30" s="25" t="inlineStr"/>
      <c r="M30" s="25" t="inlineStr"/>
      <c r="N30" s="25" t="inlineStr"/>
      <c r="O30" s="24" t="inlineStr"/>
      <c r="P30" s="25" t="inlineStr"/>
      <c r="Q30" s="24" t="inlineStr"/>
      <c r="R30" s="24" t="inlineStr"/>
      <c r="S30" s="24" t="inlineStr"/>
      <c r="T30" s="25" t="inlineStr"/>
    </row>
    <row r="31">
      <c r="A31" s="24" t="inlineStr"/>
      <c r="B31" s="24" t="inlineStr"/>
      <c r="C31" s="23" t="inlineStr"/>
      <c r="D31" s="29">
        <f>IFERROR(VLOOKUP($C31,'Test Cases'!$A:$H,8,FALSE),"")</f>
        <v/>
      </c>
      <c r="E31" s="29">
        <f>IFERROR(VLOOKUP($C31,'Test Cases'!$A:$G,7,FALSE),"")</f>
        <v/>
      </c>
      <c r="F31" s="30">
        <f>IFERROR(VLOOKUP($C31,'Test Cases'!$A:$I,9,FALSE),"")</f>
        <v/>
      </c>
      <c r="G31" s="29">
        <f>IFERROR(VLOOKUP($C31,'Test Cases'!$A:$K,11,FALSE),"")</f>
        <v/>
      </c>
      <c r="H31" s="24" t="inlineStr"/>
      <c r="I31" s="24" t="inlineStr">
        <is>
          <t>Open</t>
        </is>
      </c>
      <c r="J31" s="24" t="inlineStr"/>
      <c r="K31" s="25" t="inlineStr"/>
      <c r="L31" s="25" t="inlineStr"/>
      <c r="M31" s="25" t="inlineStr"/>
      <c r="N31" s="25" t="inlineStr"/>
      <c r="O31" s="24" t="inlineStr"/>
      <c r="P31" s="25" t="inlineStr"/>
      <c r="Q31" s="24" t="inlineStr"/>
      <c r="R31" s="24" t="inlineStr"/>
      <c r="S31" s="24" t="inlineStr"/>
      <c r="T31" s="25" t="inlineStr"/>
    </row>
    <row r="32">
      <c r="A32" s="24" t="inlineStr"/>
      <c r="B32" s="24" t="inlineStr"/>
      <c r="C32" s="23" t="inlineStr"/>
      <c r="D32" s="29">
        <f>IFERROR(VLOOKUP($C32,'Test Cases'!$A:$H,8,FALSE),"")</f>
        <v/>
      </c>
      <c r="E32" s="29">
        <f>IFERROR(VLOOKUP($C32,'Test Cases'!$A:$G,7,FALSE),"")</f>
        <v/>
      </c>
      <c r="F32" s="30">
        <f>IFERROR(VLOOKUP($C32,'Test Cases'!$A:$I,9,FALSE),"")</f>
        <v/>
      </c>
      <c r="G32" s="29">
        <f>IFERROR(VLOOKUP($C32,'Test Cases'!$A:$K,11,FALSE),"")</f>
        <v/>
      </c>
      <c r="H32" s="24" t="inlineStr"/>
      <c r="I32" s="24" t="inlineStr">
        <is>
          <t>Open</t>
        </is>
      </c>
      <c r="J32" s="24" t="inlineStr"/>
      <c r="K32" s="25" t="inlineStr"/>
      <c r="L32" s="25" t="inlineStr"/>
      <c r="M32" s="25" t="inlineStr"/>
      <c r="N32" s="25" t="inlineStr"/>
      <c r="O32" s="24" t="inlineStr"/>
      <c r="P32" s="25" t="inlineStr"/>
      <c r="Q32" s="24" t="inlineStr"/>
      <c r="R32" s="24" t="inlineStr"/>
      <c r="S32" s="24" t="inlineStr"/>
      <c r="T32" s="25" t="inlineStr"/>
    </row>
    <row r="33">
      <c r="A33" s="24" t="inlineStr"/>
      <c r="B33" s="24" t="inlineStr"/>
      <c r="C33" s="23" t="inlineStr"/>
      <c r="D33" s="29">
        <f>IFERROR(VLOOKUP($C33,'Test Cases'!$A:$H,8,FALSE),"")</f>
        <v/>
      </c>
      <c r="E33" s="29">
        <f>IFERROR(VLOOKUP($C33,'Test Cases'!$A:$G,7,FALSE),"")</f>
        <v/>
      </c>
      <c r="F33" s="30">
        <f>IFERROR(VLOOKUP($C33,'Test Cases'!$A:$I,9,FALSE),"")</f>
        <v/>
      </c>
      <c r="G33" s="29">
        <f>IFERROR(VLOOKUP($C33,'Test Cases'!$A:$K,11,FALSE),"")</f>
        <v/>
      </c>
      <c r="H33" s="24" t="inlineStr"/>
      <c r="I33" s="24" t="inlineStr">
        <is>
          <t>Open</t>
        </is>
      </c>
      <c r="J33" s="24" t="inlineStr"/>
      <c r="K33" s="25" t="inlineStr"/>
      <c r="L33" s="25" t="inlineStr"/>
      <c r="M33" s="25" t="inlineStr"/>
      <c r="N33" s="25" t="inlineStr"/>
      <c r="O33" s="24" t="inlineStr"/>
      <c r="P33" s="25" t="inlineStr"/>
      <c r="Q33" s="24" t="inlineStr"/>
      <c r="R33" s="24" t="inlineStr"/>
      <c r="S33" s="24" t="inlineStr"/>
      <c r="T33" s="25" t="inlineStr"/>
    </row>
    <row r="34">
      <c r="A34" s="24" t="inlineStr"/>
      <c r="B34" s="24" t="inlineStr"/>
      <c r="C34" s="23" t="inlineStr"/>
      <c r="D34" s="29">
        <f>IFERROR(VLOOKUP($C34,'Test Cases'!$A:$H,8,FALSE),"")</f>
        <v/>
      </c>
      <c r="E34" s="29">
        <f>IFERROR(VLOOKUP($C34,'Test Cases'!$A:$G,7,FALSE),"")</f>
        <v/>
      </c>
      <c r="F34" s="30">
        <f>IFERROR(VLOOKUP($C34,'Test Cases'!$A:$I,9,FALSE),"")</f>
        <v/>
      </c>
      <c r="G34" s="29">
        <f>IFERROR(VLOOKUP($C34,'Test Cases'!$A:$K,11,FALSE),"")</f>
        <v/>
      </c>
      <c r="H34" s="24" t="inlineStr"/>
      <c r="I34" s="24" t="inlineStr">
        <is>
          <t>Open</t>
        </is>
      </c>
      <c r="J34" s="24" t="inlineStr"/>
      <c r="K34" s="25" t="inlineStr"/>
      <c r="L34" s="25" t="inlineStr"/>
      <c r="M34" s="25" t="inlineStr"/>
      <c r="N34" s="25" t="inlineStr"/>
      <c r="O34" s="24" t="inlineStr"/>
      <c r="P34" s="25" t="inlineStr"/>
      <c r="Q34" s="24" t="inlineStr"/>
      <c r="R34" s="24" t="inlineStr"/>
      <c r="S34" s="24" t="inlineStr"/>
      <c r="T34" s="25" t="inlineStr"/>
    </row>
    <row r="35">
      <c r="A35" s="24" t="inlineStr"/>
      <c r="B35" s="24" t="inlineStr"/>
      <c r="C35" s="23" t="inlineStr"/>
      <c r="D35" s="29">
        <f>IFERROR(VLOOKUP($C35,'Test Cases'!$A:$H,8,FALSE),"")</f>
        <v/>
      </c>
      <c r="E35" s="29">
        <f>IFERROR(VLOOKUP($C35,'Test Cases'!$A:$G,7,FALSE),"")</f>
        <v/>
      </c>
      <c r="F35" s="30">
        <f>IFERROR(VLOOKUP($C35,'Test Cases'!$A:$I,9,FALSE),"")</f>
        <v/>
      </c>
      <c r="G35" s="29">
        <f>IFERROR(VLOOKUP($C35,'Test Cases'!$A:$K,11,FALSE),"")</f>
        <v/>
      </c>
      <c r="H35" s="24" t="inlineStr"/>
      <c r="I35" s="24" t="inlineStr">
        <is>
          <t>Open</t>
        </is>
      </c>
      <c r="J35" s="24" t="inlineStr"/>
      <c r="K35" s="25" t="inlineStr"/>
      <c r="L35" s="25" t="inlineStr"/>
      <c r="M35" s="25" t="inlineStr"/>
      <c r="N35" s="25" t="inlineStr"/>
      <c r="O35" s="24" t="inlineStr"/>
      <c r="P35" s="25" t="inlineStr"/>
      <c r="Q35" s="24" t="inlineStr"/>
      <c r="R35" s="24" t="inlineStr"/>
      <c r="S35" s="24" t="inlineStr"/>
      <c r="T35" s="25" t="inlineStr"/>
    </row>
    <row r="36">
      <c r="A36" s="24" t="inlineStr"/>
      <c r="B36" s="24" t="inlineStr"/>
      <c r="C36" s="23" t="inlineStr"/>
      <c r="D36" s="29">
        <f>IFERROR(VLOOKUP($C36,'Test Cases'!$A:$H,8,FALSE),"")</f>
        <v/>
      </c>
      <c r="E36" s="29">
        <f>IFERROR(VLOOKUP($C36,'Test Cases'!$A:$G,7,FALSE),"")</f>
        <v/>
      </c>
      <c r="F36" s="30">
        <f>IFERROR(VLOOKUP($C36,'Test Cases'!$A:$I,9,FALSE),"")</f>
        <v/>
      </c>
      <c r="G36" s="29">
        <f>IFERROR(VLOOKUP($C36,'Test Cases'!$A:$K,11,FALSE),"")</f>
        <v/>
      </c>
      <c r="H36" s="24" t="inlineStr"/>
      <c r="I36" s="24" t="inlineStr">
        <is>
          <t>Open</t>
        </is>
      </c>
      <c r="J36" s="24" t="inlineStr"/>
      <c r="K36" s="25" t="inlineStr"/>
      <c r="L36" s="25" t="inlineStr"/>
      <c r="M36" s="25" t="inlineStr"/>
      <c r="N36" s="25" t="inlineStr"/>
      <c r="O36" s="24" t="inlineStr"/>
      <c r="P36" s="25" t="inlineStr"/>
      <c r="Q36" s="24" t="inlineStr"/>
      <c r="R36" s="24" t="inlineStr"/>
      <c r="S36" s="24" t="inlineStr"/>
      <c r="T36" s="25" t="inlineStr"/>
    </row>
    <row r="37">
      <c r="A37" s="24" t="inlineStr"/>
      <c r="B37" s="24" t="inlineStr"/>
      <c r="C37" s="23" t="inlineStr"/>
      <c r="D37" s="29">
        <f>IFERROR(VLOOKUP($C37,'Test Cases'!$A:$H,8,FALSE),"")</f>
        <v/>
      </c>
      <c r="E37" s="29">
        <f>IFERROR(VLOOKUP($C37,'Test Cases'!$A:$G,7,FALSE),"")</f>
        <v/>
      </c>
      <c r="F37" s="30">
        <f>IFERROR(VLOOKUP($C37,'Test Cases'!$A:$I,9,FALSE),"")</f>
        <v/>
      </c>
      <c r="G37" s="29">
        <f>IFERROR(VLOOKUP($C37,'Test Cases'!$A:$K,11,FALSE),"")</f>
        <v/>
      </c>
      <c r="H37" s="24" t="inlineStr"/>
      <c r="I37" s="24" t="inlineStr">
        <is>
          <t>Open</t>
        </is>
      </c>
      <c r="J37" s="24" t="inlineStr"/>
      <c r="K37" s="25" t="inlineStr"/>
      <c r="L37" s="25" t="inlineStr"/>
      <c r="M37" s="25" t="inlineStr"/>
      <c r="N37" s="25" t="inlineStr"/>
      <c r="O37" s="24" t="inlineStr"/>
      <c r="P37" s="25" t="inlineStr"/>
      <c r="Q37" s="24" t="inlineStr"/>
      <c r="R37" s="24" t="inlineStr"/>
      <c r="S37" s="24" t="inlineStr"/>
      <c r="T37" s="25" t="inlineStr"/>
    </row>
    <row r="38">
      <c r="A38" s="24" t="inlineStr"/>
      <c r="B38" s="24" t="inlineStr"/>
      <c r="C38" s="23" t="inlineStr"/>
      <c r="D38" s="29">
        <f>IFERROR(VLOOKUP($C38,'Test Cases'!$A:$H,8,FALSE),"")</f>
        <v/>
      </c>
      <c r="E38" s="29">
        <f>IFERROR(VLOOKUP($C38,'Test Cases'!$A:$G,7,FALSE),"")</f>
        <v/>
      </c>
      <c r="F38" s="30">
        <f>IFERROR(VLOOKUP($C38,'Test Cases'!$A:$I,9,FALSE),"")</f>
        <v/>
      </c>
      <c r="G38" s="29">
        <f>IFERROR(VLOOKUP($C38,'Test Cases'!$A:$K,11,FALSE),"")</f>
        <v/>
      </c>
      <c r="H38" s="24" t="inlineStr"/>
      <c r="I38" s="24" t="inlineStr">
        <is>
          <t>Open</t>
        </is>
      </c>
      <c r="J38" s="24" t="inlineStr"/>
      <c r="K38" s="25" t="inlineStr"/>
      <c r="L38" s="25" t="inlineStr"/>
      <c r="M38" s="25" t="inlineStr"/>
      <c r="N38" s="25" t="inlineStr"/>
      <c r="O38" s="24" t="inlineStr"/>
      <c r="P38" s="25" t="inlineStr"/>
      <c r="Q38" s="24" t="inlineStr"/>
      <c r="R38" s="24" t="inlineStr"/>
      <c r="S38" s="24" t="inlineStr"/>
      <c r="T38" s="25" t="inlineStr"/>
    </row>
    <row r="39">
      <c r="A39" s="24" t="inlineStr"/>
      <c r="B39" s="24" t="inlineStr"/>
      <c r="C39" s="23" t="inlineStr"/>
      <c r="D39" s="29">
        <f>IFERROR(VLOOKUP($C39,'Test Cases'!$A:$H,8,FALSE),"")</f>
        <v/>
      </c>
      <c r="E39" s="29">
        <f>IFERROR(VLOOKUP($C39,'Test Cases'!$A:$G,7,FALSE),"")</f>
        <v/>
      </c>
      <c r="F39" s="30">
        <f>IFERROR(VLOOKUP($C39,'Test Cases'!$A:$I,9,FALSE),"")</f>
        <v/>
      </c>
      <c r="G39" s="29">
        <f>IFERROR(VLOOKUP($C39,'Test Cases'!$A:$K,11,FALSE),"")</f>
        <v/>
      </c>
      <c r="H39" s="24" t="inlineStr"/>
      <c r="I39" s="24" t="inlineStr">
        <is>
          <t>Open</t>
        </is>
      </c>
      <c r="J39" s="24" t="inlineStr"/>
      <c r="K39" s="25" t="inlineStr"/>
      <c r="L39" s="25" t="inlineStr"/>
      <c r="M39" s="25" t="inlineStr"/>
      <c r="N39" s="25" t="inlineStr"/>
      <c r="O39" s="24" t="inlineStr"/>
      <c r="P39" s="25" t="inlineStr"/>
      <c r="Q39" s="24" t="inlineStr"/>
      <c r="R39" s="24" t="inlineStr"/>
      <c r="S39" s="24" t="inlineStr"/>
      <c r="T39" s="25" t="inlineStr"/>
    </row>
    <row r="40">
      <c r="A40" s="24" t="inlineStr"/>
      <c r="B40" s="24" t="inlineStr"/>
      <c r="C40" s="23" t="inlineStr"/>
      <c r="D40" s="29">
        <f>IFERROR(VLOOKUP($C40,'Test Cases'!$A:$H,8,FALSE),"")</f>
        <v/>
      </c>
      <c r="E40" s="29">
        <f>IFERROR(VLOOKUP($C40,'Test Cases'!$A:$G,7,FALSE),"")</f>
        <v/>
      </c>
      <c r="F40" s="30">
        <f>IFERROR(VLOOKUP($C40,'Test Cases'!$A:$I,9,FALSE),"")</f>
        <v/>
      </c>
      <c r="G40" s="29">
        <f>IFERROR(VLOOKUP($C40,'Test Cases'!$A:$K,11,FALSE),"")</f>
        <v/>
      </c>
      <c r="H40" s="24" t="inlineStr"/>
      <c r="I40" s="24" t="inlineStr">
        <is>
          <t>Open</t>
        </is>
      </c>
      <c r="J40" s="24" t="inlineStr"/>
      <c r="K40" s="25" t="inlineStr"/>
      <c r="L40" s="25" t="inlineStr"/>
      <c r="M40" s="25" t="inlineStr"/>
      <c r="N40" s="25" t="inlineStr"/>
      <c r="O40" s="24" t="inlineStr"/>
      <c r="P40" s="25" t="inlineStr"/>
      <c r="Q40" s="24" t="inlineStr"/>
      <c r="R40" s="24" t="inlineStr"/>
      <c r="S40" s="24" t="inlineStr"/>
      <c r="T40" s="25" t="inlineStr"/>
    </row>
    <row r="41">
      <c r="A41" s="24" t="inlineStr"/>
      <c r="B41" s="24" t="inlineStr"/>
      <c r="C41" s="23" t="inlineStr"/>
      <c r="D41" s="29">
        <f>IFERROR(VLOOKUP($C41,'Test Cases'!$A:$H,8,FALSE),"")</f>
        <v/>
      </c>
      <c r="E41" s="29">
        <f>IFERROR(VLOOKUP($C41,'Test Cases'!$A:$G,7,FALSE),"")</f>
        <v/>
      </c>
      <c r="F41" s="30">
        <f>IFERROR(VLOOKUP($C41,'Test Cases'!$A:$I,9,FALSE),"")</f>
        <v/>
      </c>
      <c r="G41" s="29">
        <f>IFERROR(VLOOKUP($C41,'Test Cases'!$A:$K,11,FALSE),"")</f>
        <v/>
      </c>
      <c r="H41" s="24" t="inlineStr"/>
      <c r="I41" s="24" t="inlineStr">
        <is>
          <t>Open</t>
        </is>
      </c>
      <c r="J41" s="24" t="inlineStr"/>
      <c r="K41" s="25" t="inlineStr"/>
      <c r="L41" s="25" t="inlineStr"/>
      <c r="M41" s="25" t="inlineStr"/>
      <c r="N41" s="25" t="inlineStr"/>
      <c r="O41" s="24" t="inlineStr"/>
      <c r="P41" s="25" t="inlineStr"/>
      <c r="Q41" s="24" t="inlineStr"/>
      <c r="R41" s="24" t="inlineStr"/>
      <c r="S41" s="24" t="inlineStr"/>
      <c r="T41" s="25" t="inlineStr"/>
    </row>
    <row r="42">
      <c r="A42" s="24" t="inlineStr"/>
      <c r="B42" s="24" t="inlineStr"/>
      <c r="C42" s="23" t="inlineStr"/>
      <c r="D42" s="29">
        <f>IFERROR(VLOOKUP($C42,'Test Cases'!$A:$H,8,FALSE),"")</f>
        <v/>
      </c>
      <c r="E42" s="29">
        <f>IFERROR(VLOOKUP($C42,'Test Cases'!$A:$G,7,FALSE),"")</f>
        <v/>
      </c>
      <c r="F42" s="30">
        <f>IFERROR(VLOOKUP($C42,'Test Cases'!$A:$I,9,FALSE),"")</f>
        <v/>
      </c>
      <c r="G42" s="29">
        <f>IFERROR(VLOOKUP($C42,'Test Cases'!$A:$K,11,FALSE),"")</f>
        <v/>
      </c>
      <c r="H42" s="24" t="inlineStr"/>
      <c r="I42" s="24" t="inlineStr">
        <is>
          <t>Open</t>
        </is>
      </c>
      <c r="J42" s="24" t="inlineStr"/>
      <c r="K42" s="25" t="inlineStr"/>
      <c r="L42" s="25" t="inlineStr"/>
      <c r="M42" s="25" t="inlineStr"/>
      <c r="N42" s="25" t="inlineStr"/>
      <c r="O42" s="24" t="inlineStr"/>
      <c r="P42" s="25" t="inlineStr"/>
      <c r="Q42" s="24" t="inlineStr"/>
      <c r="R42" s="24" t="inlineStr"/>
      <c r="S42" s="24" t="inlineStr"/>
      <c r="T42" s="25" t="inlineStr"/>
    </row>
    <row r="43">
      <c r="A43" s="24" t="inlineStr"/>
      <c r="B43" s="24" t="inlineStr"/>
      <c r="C43" s="23" t="inlineStr"/>
      <c r="D43" s="29">
        <f>IFERROR(VLOOKUP($C43,'Test Cases'!$A:$H,8,FALSE),"")</f>
        <v/>
      </c>
      <c r="E43" s="29">
        <f>IFERROR(VLOOKUP($C43,'Test Cases'!$A:$G,7,FALSE),"")</f>
        <v/>
      </c>
      <c r="F43" s="30">
        <f>IFERROR(VLOOKUP($C43,'Test Cases'!$A:$I,9,FALSE),"")</f>
        <v/>
      </c>
      <c r="G43" s="29">
        <f>IFERROR(VLOOKUP($C43,'Test Cases'!$A:$K,11,FALSE),"")</f>
        <v/>
      </c>
      <c r="H43" s="24" t="inlineStr"/>
      <c r="I43" s="24" t="inlineStr">
        <is>
          <t>Open</t>
        </is>
      </c>
      <c r="J43" s="24" t="inlineStr"/>
      <c r="K43" s="25" t="inlineStr"/>
      <c r="L43" s="25" t="inlineStr"/>
      <c r="M43" s="25" t="inlineStr"/>
      <c r="N43" s="25" t="inlineStr"/>
      <c r="O43" s="24" t="inlineStr"/>
      <c r="P43" s="25" t="inlineStr"/>
      <c r="Q43" s="24" t="inlineStr"/>
      <c r="R43" s="24" t="inlineStr"/>
      <c r="S43" s="24" t="inlineStr"/>
      <c r="T43" s="25" t="inlineStr"/>
    </row>
    <row r="44">
      <c r="A44" s="24" t="inlineStr"/>
      <c r="B44" s="24" t="inlineStr"/>
      <c r="C44" s="23" t="inlineStr"/>
      <c r="D44" s="29">
        <f>IFERROR(VLOOKUP($C44,'Test Cases'!$A:$H,8,FALSE),"")</f>
        <v/>
      </c>
      <c r="E44" s="29">
        <f>IFERROR(VLOOKUP($C44,'Test Cases'!$A:$G,7,FALSE),"")</f>
        <v/>
      </c>
      <c r="F44" s="30">
        <f>IFERROR(VLOOKUP($C44,'Test Cases'!$A:$I,9,FALSE),"")</f>
        <v/>
      </c>
      <c r="G44" s="29">
        <f>IFERROR(VLOOKUP($C44,'Test Cases'!$A:$K,11,FALSE),"")</f>
        <v/>
      </c>
      <c r="H44" s="24" t="inlineStr"/>
      <c r="I44" s="24" t="inlineStr">
        <is>
          <t>Open</t>
        </is>
      </c>
      <c r="J44" s="24" t="inlineStr"/>
      <c r="K44" s="25" t="inlineStr"/>
      <c r="L44" s="25" t="inlineStr"/>
      <c r="M44" s="25" t="inlineStr"/>
      <c r="N44" s="25" t="inlineStr"/>
      <c r="O44" s="24" t="inlineStr"/>
      <c r="P44" s="25" t="inlineStr"/>
      <c r="Q44" s="24" t="inlineStr"/>
      <c r="R44" s="24" t="inlineStr"/>
      <c r="S44" s="24" t="inlineStr"/>
      <c r="T44" s="25" t="inlineStr"/>
    </row>
    <row r="45">
      <c r="A45" s="24" t="inlineStr"/>
      <c r="B45" s="24" t="inlineStr"/>
      <c r="C45" s="23" t="inlineStr"/>
      <c r="D45" s="29">
        <f>IFERROR(VLOOKUP($C45,'Test Cases'!$A:$H,8,FALSE),"")</f>
        <v/>
      </c>
      <c r="E45" s="29">
        <f>IFERROR(VLOOKUP($C45,'Test Cases'!$A:$G,7,FALSE),"")</f>
        <v/>
      </c>
      <c r="F45" s="30">
        <f>IFERROR(VLOOKUP($C45,'Test Cases'!$A:$I,9,FALSE),"")</f>
        <v/>
      </c>
      <c r="G45" s="29">
        <f>IFERROR(VLOOKUP($C45,'Test Cases'!$A:$K,11,FALSE),"")</f>
        <v/>
      </c>
      <c r="H45" s="24" t="inlineStr"/>
      <c r="I45" s="24" t="inlineStr">
        <is>
          <t>Open</t>
        </is>
      </c>
      <c r="J45" s="24" t="inlineStr"/>
      <c r="K45" s="25" t="inlineStr"/>
      <c r="L45" s="25" t="inlineStr"/>
      <c r="M45" s="25" t="inlineStr"/>
      <c r="N45" s="25" t="inlineStr"/>
      <c r="O45" s="24" t="inlineStr"/>
      <c r="P45" s="25" t="inlineStr"/>
      <c r="Q45" s="24" t="inlineStr"/>
      <c r="R45" s="24" t="inlineStr"/>
      <c r="S45" s="24" t="inlineStr"/>
      <c r="T45" s="25" t="inlineStr"/>
    </row>
    <row r="46">
      <c r="A46" s="24" t="inlineStr"/>
      <c r="B46" s="24" t="inlineStr"/>
      <c r="C46" s="23" t="inlineStr"/>
      <c r="D46" s="29">
        <f>IFERROR(VLOOKUP($C46,'Test Cases'!$A:$H,8,FALSE),"")</f>
        <v/>
      </c>
      <c r="E46" s="29">
        <f>IFERROR(VLOOKUP($C46,'Test Cases'!$A:$G,7,FALSE),"")</f>
        <v/>
      </c>
      <c r="F46" s="30">
        <f>IFERROR(VLOOKUP($C46,'Test Cases'!$A:$I,9,FALSE),"")</f>
        <v/>
      </c>
      <c r="G46" s="29">
        <f>IFERROR(VLOOKUP($C46,'Test Cases'!$A:$K,11,FALSE),"")</f>
        <v/>
      </c>
      <c r="H46" s="24" t="inlineStr"/>
      <c r="I46" s="24" t="inlineStr">
        <is>
          <t>Open</t>
        </is>
      </c>
      <c r="J46" s="24" t="inlineStr"/>
      <c r="K46" s="25" t="inlineStr"/>
      <c r="L46" s="25" t="inlineStr"/>
      <c r="M46" s="25" t="inlineStr"/>
      <c r="N46" s="25" t="inlineStr"/>
      <c r="O46" s="24" t="inlineStr"/>
      <c r="P46" s="25" t="inlineStr"/>
      <c r="Q46" s="24" t="inlineStr"/>
      <c r="R46" s="24" t="inlineStr"/>
      <c r="S46" s="24" t="inlineStr"/>
      <c r="T46" s="25" t="inlineStr"/>
    </row>
    <row r="47">
      <c r="A47" s="24" t="inlineStr"/>
      <c r="B47" s="24" t="inlineStr"/>
      <c r="C47" s="23" t="inlineStr"/>
      <c r="D47" s="29">
        <f>IFERROR(VLOOKUP($C47,'Test Cases'!$A:$H,8,FALSE),"")</f>
        <v/>
      </c>
      <c r="E47" s="29">
        <f>IFERROR(VLOOKUP($C47,'Test Cases'!$A:$G,7,FALSE),"")</f>
        <v/>
      </c>
      <c r="F47" s="30">
        <f>IFERROR(VLOOKUP($C47,'Test Cases'!$A:$I,9,FALSE),"")</f>
        <v/>
      </c>
      <c r="G47" s="29">
        <f>IFERROR(VLOOKUP($C47,'Test Cases'!$A:$K,11,FALSE),"")</f>
        <v/>
      </c>
      <c r="H47" s="24" t="inlineStr"/>
      <c r="I47" s="24" t="inlineStr">
        <is>
          <t>Open</t>
        </is>
      </c>
      <c r="J47" s="24" t="inlineStr"/>
      <c r="K47" s="25" t="inlineStr"/>
      <c r="L47" s="25" t="inlineStr"/>
      <c r="M47" s="25" t="inlineStr"/>
      <c r="N47" s="25" t="inlineStr"/>
      <c r="O47" s="24" t="inlineStr"/>
      <c r="P47" s="25" t="inlineStr"/>
      <c r="Q47" s="24" t="inlineStr"/>
      <c r="R47" s="24" t="inlineStr"/>
      <c r="S47" s="24" t="inlineStr"/>
      <c r="T47" s="25" t="inlineStr"/>
    </row>
    <row r="48">
      <c r="A48" s="24" t="inlineStr"/>
      <c r="B48" s="24" t="inlineStr"/>
      <c r="C48" s="23" t="inlineStr"/>
      <c r="D48" s="29">
        <f>IFERROR(VLOOKUP($C48,'Test Cases'!$A:$H,8,FALSE),"")</f>
        <v/>
      </c>
      <c r="E48" s="29">
        <f>IFERROR(VLOOKUP($C48,'Test Cases'!$A:$G,7,FALSE),"")</f>
        <v/>
      </c>
      <c r="F48" s="30">
        <f>IFERROR(VLOOKUP($C48,'Test Cases'!$A:$I,9,FALSE),"")</f>
        <v/>
      </c>
      <c r="G48" s="29">
        <f>IFERROR(VLOOKUP($C48,'Test Cases'!$A:$K,11,FALSE),"")</f>
        <v/>
      </c>
      <c r="H48" s="24" t="inlineStr"/>
      <c r="I48" s="24" t="inlineStr">
        <is>
          <t>Open</t>
        </is>
      </c>
      <c r="J48" s="24" t="inlineStr"/>
      <c r="K48" s="25" t="inlineStr"/>
      <c r="L48" s="25" t="inlineStr"/>
      <c r="M48" s="25" t="inlineStr"/>
      <c r="N48" s="25" t="inlineStr"/>
      <c r="O48" s="24" t="inlineStr"/>
      <c r="P48" s="25" t="inlineStr"/>
      <c r="Q48" s="24" t="inlineStr"/>
      <c r="R48" s="24" t="inlineStr"/>
      <c r="S48" s="24" t="inlineStr"/>
      <c r="T48" s="25" t="inlineStr"/>
    </row>
    <row r="49">
      <c r="A49" s="24" t="inlineStr"/>
      <c r="B49" s="24" t="inlineStr"/>
      <c r="C49" s="23" t="inlineStr"/>
      <c r="D49" s="29">
        <f>IFERROR(VLOOKUP($C49,'Test Cases'!$A:$H,8,FALSE),"")</f>
        <v/>
      </c>
      <c r="E49" s="29">
        <f>IFERROR(VLOOKUP($C49,'Test Cases'!$A:$G,7,FALSE),"")</f>
        <v/>
      </c>
      <c r="F49" s="30">
        <f>IFERROR(VLOOKUP($C49,'Test Cases'!$A:$I,9,FALSE),"")</f>
        <v/>
      </c>
      <c r="G49" s="29">
        <f>IFERROR(VLOOKUP($C49,'Test Cases'!$A:$K,11,FALSE),"")</f>
        <v/>
      </c>
      <c r="H49" s="24" t="inlineStr"/>
      <c r="I49" s="24" t="inlineStr">
        <is>
          <t>Open</t>
        </is>
      </c>
      <c r="J49" s="24" t="inlineStr"/>
      <c r="K49" s="25" t="inlineStr"/>
      <c r="L49" s="25" t="inlineStr"/>
      <c r="M49" s="25" t="inlineStr"/>
      <c r="N49" s="25" t="inlineStr"/>
      <c r="O49" s="24" t="inlineStr"/>
      <c r="P49" s="25" t="inlineStr"/>
      <c r="Q49" s="24" t="inlineStr"/>
      <c r="R49" s="24" t="inlineStr"/>
      <c r="S49" s="24" t="inlineStr"/>
      <c r="T49" s="25" t="inlineStr"/>
    </row>
    <row r="50">
      <c r="A50" s="24" t="inlineStr"/>
      <c r="B50" s="24" t="inlineStr"/>
      <c r="C50" s="23" t="inlineStr"/>
      <c r="D50" s="29">
        <f>IFERROR(VLOOKUP($C50,'Test Cases'!$A:$H,8,FALSE),"")</f>
        <v/>
      </c>
      <c r="E50" s="29">
        <f>IFERROR(VLOOKUP($C50,'Test Cases'!$A:$G,7,FALSE),"")</f>
        <v/>
      </c>
      <c r="F50" s="30">
        <f>IFERROR(VLOOKUP($C50,'Test Cases'!$A:$I,9,FALSE),"")</f>
        <v/>
      </c>
      <c r="G50" s="29">
        <f>IFERROR(VLOOKUP($C50,'Test Cases'!$A:$K,11,FALSE),"")</f>
        <v/>
      </c>
      <c r="H50" s="24" t="inlineStr"/>
      <c r="I50" s="24" t="inlineStr">
        <is>
          <t>Open</t>
        </is>
      </c>
      <c r="J50" s="24" t="inlineStr"/>
      <c r="K50" s="25" t="inlineStr"/>
      <c r="L50" s="25" t="inlineStr"/>
      <c r="M50" s="25" t="inlineStr"/>
      <c r="N50" s="25" t="inlineStr"/>
      <c r="O50" s="24" t="inlineStr"/>
      <c r="P50" s="25" t="inlineStr"/>
      <c r="Q50" s="24" t="inlineStr"/>
      <c r="R50" s="24" t="inlineStr"/>
      <c r="S50" s="24" t="inlineStr"/>
      <c r="T50" s="25" t="inlineStr"/>
    </row>
    <row r="51">
      <c r="A51" s="24" t="inlineStr"/>
      <c r="B51" s="24" t="inlineStr"/>
      <c r="C51" s="23" t="inlineStr"/>
      <c r="D51" s="29">
        <f>IFERROR(VLOOKUP($C51,'Test Cases'!$A:$H,8,FALSE),"")</f>
        <v/>
      </c>
      <c r="E51" s="29">
        <f>IFERROR(VLOOKUP($C51,'Test Cases'!$A:$G,7,FALSE),"")</f>
        <v/>
      </c>
      <c r="F51" s="30">
        <f>IFERROR(VLOOKUP($C51,'Test Cases'!$A:$I,9,FALSE),"")</f>
        <v/>
      </c>
      <c r="G51" s="29">
        <f>IFERROR(VLOOKUP($C51,'Test Cases'!$A:$K,11,FALSE),"")</f>
        <v/>
      </c>
      <c r="H51" s="24" t="inlineStr"/>
      <c r="I51" s="24" t="inlineStr">
        <is>
          <t>Open</t>
        </is>
      </c>
      <c r="J51" s="24" t="inlineStr"/>
      <c r="K51" s="25" t="inlineStr"/>
      <c r="L51" s="25" t="inlineStr"/>
      <c r="M51" s="25" t="inlineStr"/>
      <c r="N51" s="25" t="inlineStr"/>
      <c r="O51" s="24" t="inlineStr"/>
      <c r="P51" s="25" t="inlineStr"/>
      <c r="Q51" s="24" t="inlineStr"/>
      <c r="R51" s="24" t="inlineStr"/>
      <c r="S51" s="24" t="inlineStr"/>
      <c r="T51" s="25" t="inlineStr"/>
    </row>
    <row r="52">
      <c r="A52" s="24" t="inlineStr"/>
      <c r="B52" s="24" t="inlineStr"/>
      <c r="C52" s="23" t="inlineStr"/>
      <c r="D52" s="29">
        <f>IFERROR(VLOOKUP($C52,'Test Cases'!$A:$H,8,FALSE),"")</f>
        <v/>
      </c>
      <c r="E52" s="29">
        <f>IFERROR(VLOOKUP($C52,'Test Cases'!$A:$G,7,FALSE),"")</f>
        <v/>
      </c>
      <c r="F52" s="30">
        <f>IFERROR(VLOOKUP($C52,'Test Cases'!$A:$I,9,FALSE),"")</f>
        <v/>
      </c>
      <c r="G52" s="29">
        <f>IFERROR(VLOOKUP($C52,'Test Cases'!$A:$K,11,FALSE),"")</f>
        <v/>
      </c>
      <c r="H52" s="24" t="inlineStr"/>
      <c r="I52" s="24" t="inlineStr">
        <is>
          <t>Open</t>
        </is>
      </c>
      <c r="J52" s="24" t="inlineStr"/>
      <c r="K52" s="25" t="inlineStr"/>
      <c r="L52" s="25" t="inlineStr"/>
      <c r="M52" s="25" t="inlineStr"/>
      <c r="N52" s="25" t="inlineStr"/>
      <c r="O52" s="24" t="inlineStr"/>
      <c r="P52" s="25" t="inlineStr"/>
      <c r="Q52" s="24" t="inlineStr"/>
      <c r="R52" s="24" t="inlineStr"/>
      <c r="S52" s="24" t="inlineStr"/>
      <c r="T52" s="25" t="inlineStr"/>
    </row>
    <row r="53">
      <c r="A53" s="24" t="inlineStr"/>
      <c r="B53" s="24" t="inlineStr"/>
      <c r="C53" s="23" t="inlineStr"/>
      <c r="D53" s="29">
        <f>IFERROR(VLOOKUP($C53,'Test Cases'!$A:$H,8,FALSE),"")</f>
        <v/>
      </c>
      <c r="E53" s="29">
        <f>IFERROR(VLOOKUP($C53,'Test Cases'!$A:$G,7,FALSE),"")</f>
        <v/>
      </c>
      <c r="F53" s="30">
        <f>IFERROR(VLOOKUP($C53,'Test Cases'!$A:$I,9,FALSE),"")</f>
        <v/>
      </c>
      <c r="G53" s="29">
        <f>IFERROR(VLOOKUP($C53,'Test Cases'!$A:$K,11,FALSE),"")</f>
        <v/>
      </c>
      <c r="H53" s="24" t="inlineStr"/>
      <c r="I53" s="24" t="inlineStr">
        <is>
          <t>Open</t>
        </is>
      </c>
      <c r="J53" s="24" t="inlineStr"/>
      <c r="K53" s="25" t="inlineStr"/>
      <c r="L53" s="25" t="inlineStr"/>
      <c r="M53" s="25" t="inlineStr"/>
      <c r="N53" s="25" t="inlineStr"/>
      <c r="O53" s="24" t="inlineStr"/>
      <c r="P53" s="25" t="inlineStr"/>
      <c r="Q53" s="24" t="inlineStr"/>
      <c r="R53" s="24" t="inlineStr"/>
      <c r="S53" s="24" t="inlineStr"/>
      <c r="T53" s="25" t="inlineStr"/>
    </row>
    <row r="54">
      <c r="A54" s="24" t="inlineStr"/>
      <c r="B54" s="24" t="inlineStr"/>
      <c r="C54" s="23" t="inlineStr"/>
      <c r="D54" s="29">
        <f>IFERROR(VLOOKUP($C54,'Test Cases'!$A:$H,8,FALSE),"")</f>
        <v/>
      </c>
      <c r="E54" s="29">
        <f>IFERROR(VLOOKUP($C54,'Test Cases'!$A:$G,7,FALSE),"")</f>
        <v/>
      </c>
      <c r="F54" s="30">
        <f>IFERROR(VLOOKUP($C54,'Test Cases'!$A:$I,9,FALSE),"")</f>
        <v/>
      </c>
      <c r="G54" s="29">
        <f>IFERROR(VLOOKUP($C54,'Test Cases'!$A:$K,11,FALSE),"")</f>
        <v/>
      </c>
      <c r="H54" s="24" t="inlineStr"/>
      <c r="I54" s="24" t="inlineStr">
        <is>
          <t>Open</t>
        </is>
      </c>
      <c r="J54" s="24" t="inlineStr"/>
      <c r="K54" s="25" t="inlineStr"/>
      <c r="L54" s="25" t="inlineStr"/>
      <c r="M54" s="25" t="inlineStr"/>
      <c r="N54" s="25" t="inlineStr"/>
      <c r="O54" s="24" t="inlineStr"/>
      <c r="P54" s="25" t="inlineStr"/>
      <c r="Q54" s="24" t="inlineStr"/>
      <c r="R54" s="24" t="inlineStr"/>
      <c r="S54" s="24" t="inlineStr"/>
      <c r="T54" s="25" t="inlineStr"/>
    </row>
    <row r="55">
      <c r="A55" s="24" t="inlineStr"/>
      <c r="B55" s="24" t="inlineStr"/>
      <c r="C55" s="23" t="inlineStr"/>
      <c r="D55" s="29">
        <f>IFERROR(VLOOKUP($C55,'Test Cases'!$A:$H,8,FALSE),"")</f>
        <v/>
      </c>
      <c r="E55" s="29">
        <f>IFERROR(VLOOKUP($C55,'Test Cases'!$A:$G,7,FALSE),"")</f>
        <v/>
      </c>
      <c r="F55" s="30">
        <f>IFERROR(VLOOKUP($C55,'Test Cases'!$A:$I,9,FALSE),"")</f>
        <v/>
      </c>
      <c r="G55" s="29">
        <f>IFERROR(VLOOKUP($C55,'Test Cases'!$A:$K,11,FALSE),"")</f>
        <v/>
      </c>
      <c r="H55" s="24" t="inlineStr"/>
      <c r="I55" s="24" t="inlineStr">
        <is>
          <t>Open</t>
        </is>
      </c>
      <c r="J55" s="24" t="inlineStr"/>
      <c r="K55" s="25" t="inlineStr"/>
      <c r="L55" s="25" t="inlineStr"/>
      <c r="M55" s="25" t="inlineStr"/>
      <c r="N55" s="25" t="inlineStr"/>
      <c r="O55" s="24" t="inlineStr"/>
      <c r="P55" s="25" t="inlineStr"/>
      <c r="Q55" s="24" t="inlineStr"/>
      <c r="R55" s="24" t="inlineStr"/>
      <c r="S55" s="24" t="inlineStr"/>
      <c r="T55" s="25" t="inlineStr"/>
    </row>
    <row r="56">
      <c r="A56" s="24" t="inlineStr"/>
      <c r="B56" s="24" t="inlineStr"/>
      <c r="C56" s="23" t="inlineStr"/>
      <c r="D56" s="29">
        <f>IFERROR(VLOOKUP($C56,'Test Cases'!$A:$H,8,FALSE),"")</f>
        <v/>
      </c>
      <c r="E56" s="29">
        <f>IFERROR(VLOOKUP($C56,'Test Cases'!$A:$G,7,FALSE),"")</f>
        <v/>
      </c>
      <c r="F56" s="30">
        <f>IFERROR(VLOOKUP($C56,'Test Cases'!$A:$I,9,FALSE),"")</f>
        <v/>
      </c>
      <c r="G56" s="29">
        <f>IFERROR(VLOOKUP($C56,'Test Cases'!$A:$K,11,FALSE),"")</f>
        <v/>
      </c>
      <c r="H56" s="24" t="inlineStr"/>
      <c r="I56" s="24" t="inlineStr">
        <is>
          <t>Open</t>
        </is>
      </c>
      <c r="J56" s="24" t="inlineStr"/>
      <c r="K56" s="25" t="inlineStr"/>
      <c r="L56" s="25" t="inlineStr"/>
      <c r="M56" s="25" t="inlineStr"/>
      <c r="N56" s="25" t="inlineStr"/>
      <c r="O56" s="24" t="inlineStr"/>
      <c r="P56" s="25" t="inlineStr"/>
      <c r="Q56" s="24" t="inlineStr"/>
      <c r="R56" s="24" t="inlineStr"/>
      <c r="S56" s="24" t="inlineStr"/>
      <c r="T56" s="25" t="inlineStr"/>
    </row>
    <row r="57">
      <c r="A57" s="24" t="inlineStr"/>
      <c r="B57" s="24" t="inlineStr"/>
      <c r="C57" s="23" t="inlineStr"/>
      <c r="D57" s="29">
        <f>IFERROR(VLOOKUP($C57,'Test Cases'!$A:$H,8,FALSE),"")</f>
        <v/>
      </c>
      <c r="E57" s="29">
        <f>IFERROR(VLOOKUP($C57,'Test Cases'!$A:$G,7,FALSE),"")</f>
        <v/>
      </c>
      <c r="F57" s="30">
        <f>IFERROR(VLOOKUP($C57,'Test Cases'!$A:$I,9,FALSE),"")</f>
        <v/>
      </c>
      <c r="G57" s="29">
        <f>IFERROR(VLOOKUP($C57,'Test Cases'!$A:$K,11,FALSE),"")</f>
        <v/>
      </c>
      <c r="H57" s="24" t="inlineStr"/>
      <c r="I57" s="24" t="inlineStr">
        <is>
          <t>Open</t>
        </is>
      </c>
      <c r="J57" s="24" t="inlineStr"/>
      <c r="K57" s="25" t="inlineStr"/>
      <c r="L57" s="25" t="inlineStr"/>
      <c r="M57" s="25" t="inlineStr"/>
      <c r="N57" s="25" t="inlineStr"/>
      <c r="O57" s="24" t="inlineStr"/>
      <c r="P57" s="25" t="inlineStr"/>
      <c r="Q57" s="24" t="inlineStr"/>
      <c r="R57" s="24" t="inlineStr"/>
      <c r="S57" s="24" t="inlineStr"/>
      <c r="T57" s="25" t="inlineStr"/>
    </row>
    <row r="58">
      <c r="A58" s="24" t="inlineStr"/>
      <c r="B58" s="24" t="inlineStr"/>
      <c r="C58" s="23" t="inlineStr"/>
      <c r="D58" s="29">
        <f>IFERROR(VLOOKUP($C58,'Test Cases'!$A:$H,8,FALSE),"")</f>
        <v/>
      </c>
      <c r="E58" s="29">
        <f>IFERROR(VLOOKUP($C58,'Test Cases'!$A:$G,7,FALSE),"")</f>
        <v/>
      </c>
      <c r="F58" s="30">
        <f>IFERROR(VLOOKUP($C58,'Test Cases'!$A:$I,9,FALSE),"")</f>
        <v/>
      </c>
      <c r="G58" s="29">
        <f>IFERROR(VLOOKUP($C58,'Test Cases'!$A:$K,11,FALSE),"")</f>
        <v/>
      </c>
      <c r="H58" s="24" t="inlineStr"/>
      <c r="I58" s="24" t="inlineStr">
        <is>
          <t>Open</t>
        </is>
      </c>
      <c r="J58" s="24" t="inlineStr"/>
      <c r="K58" s="25" t="inlineStr"/>
      <c r="L58" s="25" t="inlineStr"/>
      <c r="M58" s="25" t="inlineStr"/>
      <c r="N58" s="25" t="inlineStr"/>
      <c r="O58" s="24" t="inlineStr"/>
      <c r="P58" s="25" t="inlineStr"/>
      <c r="Q58" s="24" t="inlineStr"/>
      <c r="R58" s="24" t="inlineStr"/>
      <c r="S58" s="24" t="inlineStr"/>
      <c r="T58" s="25" t="inlineStr"/>
    </row>
    <row r="59">
      <c r="A59" s="24" t="inlineStr"/>
      <c r="B59" s="24" t="inlineStr"/>
      <c r="C59" s="23" t="inlineStr"/>
      <c r="D59" s="29">
        <f>IFERROR(VLOOKUP($C59,'Test Cases'!$A:$H,8,FALSE),"")</f>
        <v/>
      </c>
      <c r="E59" s="29">
        <f>IFERROR(VLOOKUP($C59,'Test Cases'!$A:$G,7,FALSE),"")</f>
        <v/>
      </c>
      <c r="F59" s="30">
        <f>IFERROR(VLOOKUP($C59,'Test Cases'!$A:$I,9,FALSE),"")</f>
        <v/>
      </c>
      <c r="G59" s="29">
        <f>IFERROR(VLOOKUP($C59,'Test Cases'!$A:$K,11,FALSE),"")</f>
        <v/>
      </c>
      <c r="H59" s="24" t="inlineStr"/>
      <c r="I59" s="24" t="inlineStr">
        <is>
          <t>Open</t>
        </is>
      </c>
      <c r="J59" s="24" t="inlineStr"/>
      <c r="K59" s="25" t="inlineStr"/>
      <c r="L59" s="25" t="inlineStr"/>
      <c r="M59" s="25" t="inlineStr"/>
      <c r="N59" s="25" t="inlineStr"/>
      <c r="O59" s="24" t="inlineStr"/>
      <c r="P59" s="25" t="inlineStr"/>
      <c r="Q59" s="24" t="inlineStr"/>
      <c r="R59" s="24" t="inlineStr"/>
      <c r="S59" s="24" t="inlineStr"/>
      <c r="T59" s="25" t="inlineStr"/>
    </row>
    <row r="60">
      <c r="A60" s="24" t="inlineStr"/>
      <c r="B60" s="24" t="inlineStr"/>
      <c r="C60" s="23" t="inlineStr"/>
      <c r="D60" s="29">
        <f>IFERROR(VLOOKUP($C60,'Test Cases'!$A:$H,8,FALSE),"")</f>
        <v/>
      </c>
      <c r="E60" s="29">
        <f>IFERROR(VLOOKUP($C60,'Test Cases'!$A:$G,7,FALSE),"")</f>
        <v/>
      </c>
      <c r="F60" s="30">
        <f>IFERROR(VLOOKUP($C60,'Test Cases'!$A:$I,9,FALSE),"")</f>
        <v/>
      </c>
      <c r="G60" s="29">
        <f>IFERROR(VLOOKUP($C60,'Test Cases'!$A:$K,11,FALSE),"")</f>
        <v/>
      </c>
      <c r="H60" s="24" t="inlineStr"/>
      <c r="I60" s="24" t="inlineStr">
        <is>
          <t>Open</t>
        </is>
      </c>
      <c r="J60" s="24" t="inlineStr"/>
      <c r="K60" s="25" t="inlineStr"/>
      <c r="L60" s="25" t="inlineStr"/>
      <c r="M60" s="25" t="inlineStr"/>
      <c r="N60" s="25" t="inlineStr"/>
      <c r="O60" s="24" t="inlineStr"/>
      <c r="P60" s="25" t="inlineStr"/>
      <c r="Q60" s="24" t="inlineStr"/>
      <c r="R60" s="24" t="inlineStr"/>
      <c r="S60" s="24" t="inlineStr"/>
      <c r="T60" s="25" t="inlineStr"/>
    </row>
    <row r="61">
      <c r="A61" s="24" t="inlineStr"/>
      <c r="B61" s="24" t="inlineStr"/>
      <c r="C61" s="23" t="inlineStr"/>
      <c r="D61" s="29">
        <f>IFERROR(VLOOKUP($C61,'Test Cases'!$A:$H,8,FALSE),"")</f>
        <v/>
      </c>
      <c r="E61" s="29">
        <f>IFERROR(VLOOKUP($C61,'Test Cases'!$A:$G,7,FALSE),"")</f>
        <v/>
      </c>
      <c r="F61" s="30">
        <f>IFERROR(VLOOKUP($C61,'Test Cases'!$A:$I,9,FALSE),"")</f>
        <v/>
      </c>
      <c r="G61" s="29">
        <f>IFERROR(VLOOKUP($C61,'Test Cases'!$A:$K,11,FALSE),"")</f>
        <v/>
      </c>
      <c r="H61" s="24" t="inlineStr"/>
      <c r="I61" s="24" t="inlineStr">
        <is>
          <t>Open</t>
        </is>
      </c>
      <c r="J61" s="24" t="inlineStr"/>
      <c r="K61" s="25" t="inlineStr"/>
      <c r="L61" s="25" t="inlineStr"/>
      <c r="M61" s="25" t="inlineStr"/>
      <c r="N61" s="25" t="inlineStr"/>
      <c r="O61" s="24" t="inlineStr"/>
      <c r="P61" s="25" t="inlineStr"/>
      <c r="Q61" s="24" t="inlineStr"/>
      <c r="R61" s="24" t="inlineStr"/>
      <c r="S61" s="24" t="inlineStr"/>
      <c r="T61" s="25" t="inlineStr"/>
    </row>
    <row r="62">
      <c r="A62" s="24" t="inlineStr"/>
      <c r="B62" s="24" t="inlineStr"/>
      <c r="C62" s="23" t="inlineStr"/>
      <c r="D62" s="29">
        <f>IFERROR(VLOOKUP($C62,'Test Cases'!$A:$H,8,FALSE),"")</f>
        <v/>
      </c>
      <c r="E62" s="29">
        <f>IFERROR(VLOOKUP($C62,'Test Cases'!$A:$G,7,FALSE),"")</f>
        <v/>
      </c>
      <c r="F62" s="30">
        <f>IFERROR(VLOOKUP($C62,'Test Cases'!$A:$I,9,FALSE),"")</f>
        <v/>
      </c>
      <c r="G62" s="29">
        <f>IFERROR(VLOOKUP($C62,'Test Cases'!$A:$K,11,FALSE),"")</f>
        <v/>
      </c>
      <c r="H62" s="24" t="inlineStr"/>
      <c r="I62" s="24" t="inlineStr">
        <is>
          <t>Open</t>
        </is>
      </c>
      <c r="J62" s="24" t="inlineStr"/>
      <c r="K62" s="25" t="inlineStr"/>
      <c r="L62" s="25" t="inlineStr"/>
      <c r="M62" s="25" t="inlineStr"/>
      <c r="N62" s="25" t="inlineStr"/>
      <c r="O62" s="24" t="inlineStr"/>
      <c r="P62" s="25" t="inlineStr"/>
      <c r="Q62" s="24" t="inlineStr"/>
      <c r="R62" s="24" t="inlineStr"/>
      <c r="S62" s="24" t="inlineStr"/>
      <c r="T62" s="25" t="inlineStr"/>
    </row>
    <row r="63">
      <c r="A63" s="24" t="inlineStr"/>
      <c r="B63" s="24" t="inlineStr"/>
      <c r="C63" s="23" t="inlineStr"/>
      <c r="D63" s="29">
        <f>IFERROR(VLOOKUP($C63,'Test Cases'!$A:$H,8,FALSE),"")</f>
        <v/>
      </c>
      <c r="E63" s="29">
        <f>IFERROR(VLOOKUP($C63,'Test Cases'!$A:$G,7,FALSE),"")</f>
        <v/>
      </c>
      <c r="F63" s="30">
        <f>IFERROR(VLOOKUP($C63,'Test Cases'!$A:$I,9,FALSE),"")</f>
        <v/>
      </c>
      <c r="G63" s="29">
        <f>IFERROR(VLOOKUP($C63,'Test Cases'!$A:$K,11,FALSE),"")</f>
        <v/>
      </c>
      <c r="H63" s="24" t="inlineStr"/>
      <c r="I63" s="24" t="inlineStr">
        <is>
          <t>Open</t>
        </is>
      </c>
      <c r="J63" s="24" t="inlineStr"/>
      <c r="K63" s="25" t="inlineStr"/>
      <c r="L63" s="25" t="inlineStr"/>
      <c r="M63" s="25" t="inlineStr"/>
      <c r="N63" s="25" t="inlineStr"/>
      <c r="O63" s="24" t="inlineStr"/>
      <c r="P63" s="25" t="inlineStr"/>
      <c r="Q63" s="24" t="inlineStr"/>
      <c r="R63" s="24" t="inlineStr"/>
      <c r="S63" s="24" t="inlineStr"/>
      <c r="T63" s="25" t="inlineStr"/>
    </row>
    <row r="64">
      <c r="A64" s="24" t="inlineStr"/>
      <c r="B64" s="24" t="inlineStr"/>
      <c r="C64" s="23" t="inlineStr"/>
      <c r="D64" s="29">
        <f>IFERROR(VLOOKUP($C64,'Test Cases'!$A:$H,8,FALSE),"")</f>
        <v/>
      </c>
      <c r="E64" s="29">
        <f>IFERROR(VLOOKUP($C64,'Test Cases'!$A:$G,7,FALSE),"")</f>
        <v/>
      </c>
      <c r="F64" s="30">
        <f>IFERROR(VLOOKUP($C64,'Test Cases'!$A:$I,9,FALSE),"")</f>
        <v/>
      </c>
      <c r="G64" s="29">
        <f>IFERROR(VLOOKUP($C64,'Test Cases'!$A:$K,11,FALSE),"")</f>
        <v/>
      </c>
      <c r="H64" s="24" t="inlineStr"/>
      <c r="I64" s="24" t="inlineStr">
        <is>
          <t>Open</t>
        </is>
      </c>
      <c r="J64" s="24" t="inlineStr"/>
      <c r="K64" s="25" t="inlineStr"/>
      <c r="L64" s="25" t="inlineStr"/>
      <c r="M64" s="25" t="inlineStr"/>
      <c r="N64" s="25" t="inlineStr"/>
      <c r="O64" s="24" t="inlineStr"/>
      <c r="P64" s="25" t="inlineStr"/>
      <c r="Q64" s="24" t="inlineStr"/>
      <c r="R64" s="24" t="inlineStr"/>
      <c r="S64" s="24" t="inlineStr"/>
      <c r="T64" s="25" t="inlineStr"/>
    </row>
    <row r="65">
      <c r="A65" s="24" t="inlineStr"/>
      <c r="B65" s="24" t="inlineStr"/>
      <c r="C65" s="23" t="inlineStr"/>
      <c r="D65" s="29">
        <f>IFERROR(VLOOKUP($C65,'Test Cases'!$A:$H,8,FALSE),"")</f>
        <v/>
      </c>
      <c r="E65" s="29">
        <f>IFERROR(VLOOKUP($C65,'Test Cases'!$A:$G,7,FALSE),"")</f>
        <v/>
      </c>
      <c r="F65" s="30">
        <f>IFERROR(VLOOKUP($C65,'Test Cases'!$A:$I,9,FALSE),"")</f>
        <v/>
      </c>
      <c r="G65" s="29">
        <f>IFERROR(VLOOKUP($C65,'Test Cases'!$A:$K,11,FALSE),"")</f>
        <v/>
      </c>
      <c r="H65" s="24" t="inlineStr"/>
      <c r="I65" s="24" t="inlineStr">
        <is>
          <t>Open</t>
        </is>
      </c>
      <c r="J65" s="24" t="inlineStr"/>
      <c r="K65" s="25" t="inlineStr"/>
      <c r="L65" s="25" t="inlineStr"/>
      <c r="M65" s="25" t="inlineStr"/>
      <c r="N65" s="25" t="inlineStr"/>
      <c r="O65" s="24" t="inlineStr"/>
      <c r="P65" s="25" t="inlineStr"/>
      <c r="Q65" s="24" t="inlineStr"/>
      <c r="R65" s="24" t="inlineStr"/>
      <c r="S65" s="24" t="inlineStr"/>
      <c r="T65" s="25" t="inlineStr"/>
    </row>
    <row r="66">
      <c r="A66" s="24" t="inlineStr"/>
      <c r="B66" s="24" t="inlineStr"/>
      <c r="C66" s="23" t="inlineStr"/>
      <c r="D66" s="29">
        <f>IFERROR(VLOOKUP($C66,'Test Cases'!$A:$H,8,FALSE),"")</f>
        <v/>
      </c>
      <c r="E66" s="29">
        <f>IFERROR(VLOOKUP($C66,'Test Cases'!$A:$G,7,FALSE),"")</f>
        <v/>
      </c>
      <c r="F66" s="30">
        <f>IFERROR(VLOOKUP($C66,'Test Cases'!$A:$I,9,FALSE),"")</f>
        <v/>
      </c>
      <c r="G66" s="29">
        <f>IFERROR(VLOOKUP($C66,'Test Cases'!$A:$K,11,FALSE),"")</f>
        <v/>
      </c>
      <c r="H66" s="24" t="inlineStr"/>
      <c r="I66" s="24" t="inlineStr">
        <is>
          <t>Open</t>
        </is>
      </c>
      <c r="J66" s="24" t="inlineStr"/>
      <c r="K66" s="25" t="inlineStr"/>
      <c r="L66" s="25" t="inlineStr"/>
      <c r="M66" s="25" t="inlineStr"/>
      <c r="N66" s="25" t="inlineStr"/>
      <c r="O66" s="24" t="inlineStr"/>
      <c r="P66" s="25" t="inlineStr"/>
      <c r="Q66" s="24" t="inlineStr"/>
      <c r="R66" s="24" t="inlineStr"/>
      <c r="S66" s="24" t="inlineStr"/>
      <c r="T66" s="25" t="inlineStr"/>
    </row>
    <row r="67">
      <c r="A67" s="24" t="inlineStr"/>
      <c r="B67" s="24" t="inlineStr"/>
      <c r="C67" s="23" t="inlineStr"/>
      <c r="D67" s="29">
        <f>IFERROR(VLOOKUP($C67,'Test Cases'!$A:$H,8,FALSE),"")</f>
        <v/>
      </c>
      <c r="E67" s="29">
        <f>IFERROR(VLOOKUP($C67,'Test Cases'!$A:$G,7,FALSE),"")</f>
        <v/>
      </c>
      <c r="F67" s="30">
        <f>IFERROR(VLOOKUP($C67,'Test Cases'!$A:$I,9,FALSE),"")</f>
        <v/>
      </c>
      <c r="G67" s="29">
        <f>IFERROR(VLOOKUP($C67,'Test Cases'!$A:$K,11,FALSE),"")</f>
        <v/>
      </c>
      <c r="H67" s="24" t="inlineStr"/>
      <c r="I67" s="24" t="inlineStr">
        <is>
          <t>Open</t>
        </is>
      </c>
      <c r="J67" s="24" t="inlineStr"/>
      <c r="K67" s="25" t="inlineStr"/>
      <c r="L67" s="25" t="inlineStr"/>
      <c r="M67" s="25" t="inlineStr"/>
      <c r="N67" s="25" t="inlineStr"/>
      <c r="O67" s="24" t="inlineStr"/>
      <c r="P67" s="25" t="inlineStr"/>
      <c r="Q67" s="24" t="inlineStr"/>
      <c r="R67" s="24" t="inlineStr"/>
      <c r="S67" s="24" t="inlineStr"/>
      <c r="T67" s="25" t="inlineStr"/>
    </row>
    <row r="68">
      <c r="A68" s="24" t="inlineStr"/>
      <c r="B68" s="24" t="inlineStr"/>
      <c r="C68" s="23" t="inlineStr"/>
      <c r="D68" s="29">
        <f>IFERROR(VLOOKUP($C68,'Test Cases'!$A:$H,8,FALSE),"")</f>
        <v/>
      </c>
      <c r="E68" s="29">
        <f>IFERROR(VLOOKUP($C68,'Test Cases'!$A:$G,7,FALSE),"")</f>
        <v/>
      </c>
      <c r="F68" s="30">
        <f>IFERROR(VLOOKUP($C68,'Test Cases'!$A:$I,9,FALSE),"")</f>
        <v/>
      </c>
      <c r="G68" s="29">
        <f>IFERROR(VLOOKUP($C68,'Test Cases'!$A:$K,11,FALSE),"")</f>
        <v/>
      </c>
      <c r="H68" s="24" t="inlineStr"/>
      <c r="I68" s="24" t="inlineStr">
        <is>
          <t>Open</t>
        </is>
      </c>
      <c r="J68" s="24" t="inlineStr"/>
      <c r="K68" s="25" t="inlineStr"/>
      <c r="L68" s="25" t="inlineStr"/>
      <c r="M68" s="25" t="inlineStr"/>
      <c r="N68" s="25" t="inlineStr"/>
      <c r="O68" s="24" t="inlineStr"/>
      <c r="P68" s="25" t="inlineStr"/>
      <c r="Q68" s="24" t="inlineStr"/>
      <c r="R68" s="24" t="inlineStr"/>
      <c r="S68" s="24" t="inlineStr"/>
      <c r="T68" s="25" t="inlineStr"/>
    </row>
    <row r="69">
      <c r="A69" s="24" t="inlineStr"/>
      <c r="B69" s="24" t="inlineStr"/>
      <c r="C69" s="23" t="inlineStr"/>
      <c r="D69" s="29">
        <f>IFERROR(VLOOKUP($C69,'Test Cases'!$A:$H,8,FALSE),"")</f>
        <v/>
      </c>
      <c r="E69" s="29">
        <f>IFERROR(VLOOKUP($C69,'Test Cases'!$A:$G,7,FALSE),"")</f>
        <v/>
      </c>
      <c r="F69" s="30">
        <f>IFERROR(VLOOKUP($C69,'Test Cases'!$A:$I,9,FALSE),"")</f>
        <v/>
      </c>
      <c r="G69" s="29">
        <f>IFERROR(VLOOKUP($C69,'Test Cases'!$A:$K,11,FALSE),"")</f>
        <v/>
      </c>
      <c r="H69" s="24" t="inlineStr"/>
      <c r="I69" s="24" t="inlineStr">
        <is>
          <t>Open</t>
        </is>
      </c>
      <c r="J69" s="24" t="inlineStr"/>
      <c r="K69" s="25" t="inlineStr"/>
      <c r="L69" s="25" t="inlineStr"/>
      <c r="M69" s="25" t="inlineStr"/>
      <c r="N69" s="25" t="inlineStr"/>
      <c r="O69" s="24" t="inlineStr"/>
      <c r="P69" s="25" t="inlineStr"/>
      <c r="Q69" s="24" t="inlineStr"/>
      <c r="R69" s="24" t="inlineStr"/>
      <c r="S69" s="24" t="inlineStr"/>
      <c r="T69" s="25" t="inlineStr"/>
    </row>
    <row r="70">
      <c r="A70" s="24" t="inlineStr"/>
      <c r="B70" s="24" t="inlineStr"/>
      <c r="C70" s="23" t="inlineStr"/>
      <c r="D70" s="29">
        <f>IFERROR(VLOOKUP($C70,'Test Cases'!$A:$H,8,FALSE),"")</f>
        <v/>
      </c>
      <c r="E70" s="29">
        <f>IFERROR(VLOOKUP($C70,'Test Cases'!$A:$G,7,FALSE),"")</f>
        <v/>
      </c>
      <c r="F70" s="30">
        <f>IFERROR(VLOOKUP($C70,'Test Cases'!$A:$I,9,FALSE),"")</f>
        <v/>
      </c>
      <c r="G70" s="29">
        <f>IFERROR(VLOOKUP($C70,'Test Cases'!$A:$K,11,FALSE),"")</f>
        <v/>
      </c>
      <c r="H70" s="24" t="inlineStr"/>
      <c r="I70" s="24" t="inlineStr">
        <is>
          <t>Open</t>
        </is>
      </c>
      <c r="J70" s="24" t="inlineStr"/>
      <c r="K70" s="25" t="inlineStr"/>
      <c r="L70" s="25" t="inlineStr"/>
      <c r="M70" s="25" t="inlineStr"/>
      <c r="N70" s="25" t="inlineStr"/>
      <c r="O70" s="24" t="inlineStr"/>
      <c r="P70" s="25" t="inlineStr"/>
      <c r="Q70" s="24" t="inlineStr"/>
      <c r="R70" s="24" t="inlineStr"/>
      <c r="S70" s="24" t="inlineStr"/>
      <c r="T70" s="25" t="inlineStr"/>
    </row>
    <row r="71">
      <c r="A71" s="24" t="inlineStr"/>
      <c r="B71" s="24" t="inlineStr"/>
      <c r="C71" s="23" t="inlineStr"/>
      <c r="D71" s="29">
        <f>IFERROR(VLOOKUP($C71,'Test Cases'!$A:$H,8,FALSE),"")</f>
        <v/>
      </c>
      <c r="E71" s="29">
        <f>IFERROR(VLOOKUP($C71,'Test Cases'!$A:$G,7,FALSE),"")</f>
        <v/>
      </c>
      <c r="F71" s="30">
        <f>IFERROR(VLOOKUP($C71,'Test Cases'!$A:$I,9,FALSE),"")</f>
        <v/>
      </c>
      <c r="G71" s="29">
        <f>IFERROR(VLOOKUP($C71,'Test Cases'!$A:$K,11,FALSE),"")</f>
        <v/>
      </c>
      <c r="H71" s="24" t="inlineStr"/>
      <c r="I71" s="24" t="inlineStr">
        <is>
          <t>Open</t>
        </is>
      </c>
      <c r="J71" s="24" t="inlineStr"/>
      <c r="K71" s="25" t="inlineStr"/>
      <c r="L71" s="25" t="inlineStr"/>
      <c r="M71" s="25" t="inlineStr"/>
      <c r="N71" s="25" t="inlineStr"/>
      <c r="O71" s="24" t="inlineStr"/>
      <c r="P71" s="25" t="inlineStr"/>
      <c r="Q71" s="24" t="inlineStr"/>
      <c r="R71" s="24" t="inlineStr"/>
      <c r="S71" s="24" t="inlineStr"/>
      <c r="T71" s="25" t="inlineStr"/>
    </row>
    <row r="72">
      <c r="A72" s="24" t="inlineStr"/>
      <c r="B72" s="24" t="inlineStr"/>
      <c r="C72" s="23" t="inlineStr"/>
      <c r="D72" s="29">
        <f>IFERROR(VLOOKUP($C72,'Test Cases'!$A:$H,8,FALSE),"")</f>
        <v/>
      </c>
      <c r="E72" s="29">
        <f>IFERROR(VLOOKUP($C72,'Test Cases'!$A:$G,7,FALSE),"")</f>
        <v/>
      </c>
      <c r="F72" s="30">
        <f>IFERROR(VLOOKUP($C72,'Test Cases'!$A:$I,9,FALSE),"")</f>
        <v/>
      </c>
      <c r="G72" s="29">
        <f>IFERROR(VLOOKUP($C72,'Test Cases'!$A:$K,11,FALSE),"")</f>
        <v/>
      </c>
      <c r="H72" s="24" t="inlineStr"/>
      <c r="I72" s="24" t="inlineStr">
        <is>
          <t>Open</t>
        </is>
      </c>
      <c r="J72" s="24" t="inlineStr"/>
      <c r="K72" s="25" t="inlineStr"/>
      <c r="L72" s="25" t="inlineStr"/>
      <c r="M72" s="25" t="inlineStr"/>
      <c r="N72" s="25" t="inlineStr"/>
      <c r="O72" s="24" t="inlineStr"/>
      <c r="P72" s="25" t="inlineStr"/>
      <c r="Q72" s="24" t="inlineStr"/>
      <c r="R72" s="24" t="inlineStr"/>
      <c r="S72" s="24" t="inlineStr"/>
      <c r="T72" s="25" t="inlineStr"/>
    </row>
    <row r="73">
      <c r="A73" s="24" t="inlineStr"/>
      <c r="B73" s="24" t="inlineStr"/>
      <c r="C73" s="23" t="inlineStr"/>
      <c r="D73" s="29">
        <f>IFERROR(VLOOKUP($C73,'Test Cases'!$A:$H,8,FALSE),"")</f>
        <v/>
      </c>
      <c r="E73" s="29">
        <f>IFERROR(VLOOKUP($C73,'Test Cases'!$A:$G,7,FALSE),"")</f>
        <v/>
      </c>
      <c r="F73" s="30">
        <f>IFERROR(VLOOKUP($C73,'Test Cases'!$A:$I,9,FALSE),"")</f>
        <v/>
      </c>
      <c r="G73" s="29">
        <f>IFERROR(VLOOKUP($C73,'Test Cases'!$A:$K,11,FALSE),"")</f>
        <v/>
      </c>
      <c r="H73" s="24" t="inlineStr"/>
      <c r="I73" s="24" t="inlineStr">
        <is>
          <t>Open</t>
        </is>
      </c>
      <c r="J73" s="24" t="inlineStr"/>
      <c r="K73" s="25" t="inlineStr"/>
      <c r="L73" s="25" t="inlineStr"/>
      <c r="M73" s="25" t="inlineStr"/>
      <c r="N73" s="25" t="inlineStr"/>
      <c r="O73" s="24" t="inlineStr"/>
      <c r="P73" s="25" t="inlineStr"/>
      <c r="Q73" s="24" t="inlineStr"/>
      <c r="R73" s="24" t="inlineStr"/>
      <c r="S73" s="24" t="inlineStr"/>
      <c r="T73" s="25" t="inlineStr"/>
    </row>
    <row r="74">
      <c r="A74" s="24" t="inlineStr"/>
      <c r="B74" s="24" t="inlineStr"/>
      <c r="C74" s="23" t="inlineStr"/>
      <c r="D74" s="29">
        <f>IFERROR(VLOOKUP($C74,'Test Cases'!$A:$H,8,FALSE),"")</f>
        <v/>
      </c>
      <c r="E74" s="29">
        <f>IFERROR(VLOOKUP($C74,'Test Cases'!$A:$G,7,FALSE),"")</f>
        <v/>
      </c>
      <c r="F74" s="30">
        <f>IFERROR(VLOOKUP($C74,'Test Cases'!$A:$I,9,FALSE),"")</f>
        <v/>
      </c>
      <c r="G74" s="29">
        <f>IFERROR(VLOOKUP($C74,'Test Cases'!$A:$K,11,FALSE),"")</f>
        <v/>
      </c>
      <c r="H74" s="24" t="inlineStr"/>
      <c r="I74" s="24" t="inlineStr">
        <is>
          <t>Open</t>
        </is>
      </c>
      <c r="J74" s="24" t="inlineStr"/>
      <c r="K74" s="25" t="inlineStr"/>
      <c r="L74" s="25" t="inlineStr"/>
      <c r="M74" s="25" t="inlineStr"/>
      <c r="N74" s="25" t="inlineStr"/>
      <c r="O74" s="24" t="inlineStr"/>
      <c r="P74" s="25" t="inlineStr"/>
      <c r="Q74" s="24" t="inlineStr"/>
      <c r="R74" s="24" t="inlineStr"/>
      <c r="S74" s="24" t="inlineStr"/>
      <c r="T74" s="25" t="inlineStr"/>
    </row>
    <row r="75">
      <c r="A75" s="24" t="inlineStr"/>
      <c r="B75" s="24" t="inlineStr"/>
      <c r="C75" s="23" t="inlineStr"/>
      <c r="D75" s="29">
        <f>IFERROR(VLOOKUP($C75,'Test Cases'!$A:$H,8,FALSE),"")</f>
        <v/>
      </c>
      <c r="E75" s="29">
        <f>IFERROR(VLOOKUP($C75,'Test Cases'!$A:$G,7,FALSE),"")</f>
        <v/>
      </c>
      <c r="F75" s="30">
        <f>IFERROR(VLOOKUP($C75,'Test Cases'!$A:$I,9,FALSE),"")</f>
        <v/>
      </c>
      <c r="G75" s="29">
        <f>IFERROR(VLOOKUP($C75,'Test Cases'!$A:$K,11,FALSE),"")</f>
        <v/>
      </c>
      <c r="H75" s="24" t="inlineStr"/>
      <c r="I75" s="24" t="inlineStr">
        <is>
          <t>Open</t>
        </is>
      </c>
      <c r="J75" s="24" t="inlineStr"/>
      <c r="K75" s="25" t="inlineStr"/>
      <c r="L75" s="25" t="inlineStr"/>
      <c r="M75" s="25" t="inlineStr"/>
      <c r="N75" s="25" t="inlineStr"/>
      <c r="O75" s="24" t="inlineStr"/>
      <c r="P75" s="25" t="inlineStr"/>
      <c r="Q75" s="24" t="inlineStr"/>
      <c r="R75" s="24" t="inlineStr"/>
      <c r="S75" s="24" t="inlineStr"/>
      <c r="T75" s="25" t="inlineStr"/>
    </row>
    <row r="76">
      <c r="A76" s="24" t="inlineStr"/>
      <c r="B76" s="24" t="inlineStr"/>
      <c r="C76" s="23" t="inlineStr"/>
      <c r="D76" s="29">
        <f>IFERROR(VLOOKUP($C76,'Test Cases'!$A:$H,8,FALSE),"")</f>
        <v/>
      </c>
      <c r="E76" s="29">
        <f>IFERROR(VLOOKUP($C76,'Test Cases'!$A:$G,7,FALSE),"")</f>
        <v/>
      </c>
      <c r="F76" s="30">
        <f>IFERROR(VLOOKUP($C76,'Test Cases'!$A:$I,9,FALSE),"")</f>
        <v/>
      </c>
      <c r="G76" s="29">
        <f>IFERROR(VLOOKUP($C76,'Test Cases'!$A:$K,11,FALSE),"")</f>
        <v/>
      </c>
      <c r="H76" s="24" t="inlineStr"/>
      <c r="I76" s="24" t="inlineStr">
        <is>
          <t>Open</t>
        </is>
      </c>
      <c r="J76" s="24" t="inlineStr"/>
      <c r="K76" s="25" t="inlineStr"/>
      <c r="L76" s="25" t="inlineStr"/>
      <c r="M76" s="25" t="inlineStr"/>
      <c r="N76" s="25" t="inlineStr"/>
      <c r="O76" s="24" t="inlineStr"/>
      <c r="P76" s="25" t="inlineStr"/>
      <c r="Q76" s="24" t="inlineStr"/>
      <c r="R76" s="24" t="inlineStr"/>
      <c r="S76" s="24" t="inlineStr"/>
      <c r="T76" s="25" t="inlineStr"/>
    </row>
    <row r="77">
      <c r="A77" s="24" t="inlineStr"/>
      <c r="B77" s="24" t="inlineStr"/>
      <c r="C77" s="23" t="inlineStr"/>
      <c r="D77" s="29">
        <f>IFERROR(VLOOKUP($C77,'Test Cases'!$A:$H,8,FALSE),"")</f>
        <v/>
      </c>
      <c r="E77" s="29">
        <f>IFERROR(VLOOKUP($C77,'Test Cases'!$A:$G,7,FALSE),"")</f>
        <v/>
      </c>
      <c r="F77" s="30">
        <f>IFERROR(VLOOKUP($C77,'Test Cases'!$A:$I,9,FALSE),"")</f>
        <v/>
      </c>
      <c r="G77" s="29">
        <f>IFERROR(VLOOKUP($C77,'Test Cases'!$A:$K,11,FALSE),"")</f>
        <v/>
      </c>
      <c r="H77" s="24" t="inlineStr"/>
      <c r="I77" s="24" t="inlineStr">
        <is>
          <t>Open</t>
        </is>
      </c>
      <c r="J77" s="24" t="inlineStr"/>
      <c r="K77" s="25" t="inlineStr"/>
      <c r="L77" s="25" t="inlineStr"/>
      <c r="M77" s="25" t="inlineStr"/>
      <c r="N77" s="25" t="inlineStr"/>
      <c r="O77" s="24" t="inlineStr"/>
      <c r="P77" s="25" t="inlineStr"/>
      <c r="Q77" s="24" t="inlineStr"/>
      <c r="R77" s="24" t="inlineStr"/>
      <c r="S77" s="24" t="inlineStr"/>
      <c r="T77" s="25" t="inlineStr"/>
    </row>
    <row r="78">
      <c r="A78" s="24" t="inlineStr"/>
      <c r="B78" s="24" t="inlineStr"/>
      <c r="C78" s="23" t="inlineStr"/>
      <c r="D78" s="29">
        <f>IFERROR(VLOOKUP($C78,'Test Cases'!$A:$H,8,FALSE),"")</f>
        <v/>
      </c>
      <c r="E78" s="29">
        <f>IFERROR(VLOOKUP($C78,'Test Cases'!$A:$G,7,FALSE),"")</f>
        <v/>
      </c>
      <c r="F78" s="30">
        <f>IFERROR(VLOOKUP($C78,'Test Cases'!$A:$I,9,FALSE),"")</f>
        <v/>
      </c>
      <c r="G78" s="29">
        <f>IFERROR(VLOOKUP($C78,'Test Cases'!$A:$K,11,FALSE),"")</f>
        <v/>
      </c>
      <c r="H78" s="24" t="inlineStr"/>
      <c r="I78" s="24" t="inlineStr">
        <is>
          <t>Open</t>
        </is>
      </c>
      <c r="J78" s="24" t="inlineStr"/>
      <c r="K78" s="25" t="inlineStr"/>
      <c r="L78" s="25" t="inlineStr"/>
      <c r="M78" s="25" t="inlineStr"/>
      <c r="N78" s="25" t="inlineStr"/>
      <c r="O78" s="24" t="inlineStr"/>
      <c r="P78" s="25" t="inlineStr"/>
      <c r="Q78" s="24" t="inlineStr"/>
      <c r="R78" s="24" t="inlineStr"/>
      <c r="S78" s="24" t="inlineStr"/>
      <c r="T78" s="25" t="inlineStr"/>
    </row>
    <row r="79">
      <c r="A79" s="24" t="inlineStr"/>
      <c r="B79" s="24" t="inlineStr"/>
      <c r="C79" s="23" t="inlineStr"/>
      <c r="D79" s="29">
        <f>IFERROR(VLOOKUP($C79,'Test Cases'!$A:$H,8,FALSE),"")</f>
        <v/>
      </c>
      <c r="E79" s="29">
        <f>IFERROR(VLOOKUP($C79,'Test Cases'!$A:$G,7,FALSE),"")</f>
        <v/>
      </c>
      <c r="F79" s="30">
        <f>IFERROR(VLOOKUP($C79,'Test Cases'!$A:$I,9,FALSE),"")</f>
        <v/>
      </c>
      <c r="G79" s="29">
        <f>IFERROR(VLOOKUP($C79,'Test Cases'!$A:$K,11,FALSE),"")</f>
        <v/>
      </c>
      <c r="H79" s="24" t="inlineStr"/>
      <c r="I79" s="24" t="inlineStr">
        <is>
          <t>Open</t>
        </is>
      </c>
      <c r="J79" s="24" t="inlineStr"/>
      <c r="K79" s="25" t="inlineStr"/>
      <c r="L79" s="25" t="inlineStr"/>
      <c r="M79" s="25" t="inlineStr"/>
      <c r="N79" s="25" t="inlineStr"/>
      <c r="O79" s="24" t="inlineStr"/>
      <c r="P79" s="25" t="inlineStr"/>
      <c r="Q79" s="24" t="inlineStr"/>
      <c r="R79" s="24" t="inlineStr"/>
      <c r="S79" s="24" t="inlineStr"/>
      <c r="T79" s="25" t="inlineStr"/>
    </row>
    <row r="80">
      <c r="A80" s="24" t="inlineStr"/>
      <c r="B80" s="24" t="inlineStr"/>
      <c r="C80" s="23" t="inlineStr"/>
      <c r="D80" s="29">
        <f>IFERROR(VLOOKUP($C80,'Test Cases'!$A:$H,8,FALSE),"")</f>
        <v/>
      </c>
      <c r="E80" s="29">
        <f>IFERROR(VLOOKUP($C80,'Test Cases'!$A:$G,7,FALSE),"")</f>
        <v/>
      </c>
      <c r="F80" s="30">
        <f>IFERROR(VLOOKUP($C80,'Test Cases'!$A:$I,9,FALSE),"")</f>
        <v/>
      </c>
      <c r="G80" s="29">
        <f>IFERROR(VLOOKUP($C80,'Test Cases'!$A:$K,11,FALSE),"")</f>
        <v/>
      </c>
      <c r="H80" s="24" t="inlineStr"/>
      <c r="I80" s="24" t="inlineStr">
        <is>
          <t>Open</t>
        </is>
      </c>
      <c r="J80" s="24" t="inlineStr"/>
      <c r="K80" s="25" t="inlineStr"/>
      <c r="L80" s="25" t="inlineStr"/>
      <c r="M80" s="25" t="inlineStr"/>
      <c r="N80" s="25" t="inlineStr"/>
      <c r="O80" s="24" t="inlineStr"/>
      <c r="P80" s="25" t="inlineStr"/>
      <c r="Q80" s="24" t="inlineStr"/>
      <c r="R80" s="24" t="inlineStr"/>
      <c r="S80" s="24" t="inlineStr"/>
      <c r="T80" s="25" t="inlineStr"/>
    </row>
    <row r="81">
      <c r="A81" s="24" t="inlineStr"/>
      <c r="B81" s="24" t="inlineStr"/>
      <c r="C81" s="23" t="inlineStr"/>
      <c r="D81" s="29">
        <f>IFERROR(VLOOKUP($C81,'Test Cases'!$A:$H,8,FALSE),"")</f>
        <v/>
      </c>
      <c r="E81" s="29">
        <f>IFERROR(VLOOKUP($C81,'Test Cases'!$A:$G,7,FALSE),"")</f>
        <v/>
      </c>
      <c r="F81" s="30">
        <f>IFERROR(VLOOKUP($C81,'Test Cases'!$A:$I,9,FALSE),"")</f>
        <v/>
      </c>
      <c r="G81" s="29">
        <f>IFERROR(VLOOKUP($C81,'Test Cases'!$A:$K,11,FALSE),"")</f>
        <v/>
      </c>
      <c r="H81" s="24" t="inlineStr"/>
      <c r="I81" s="24" t="inlineStr">
        <is>
          <t>Open</t>
        </is>
      </c>
      <c r="J81" s="24" t="inlineStr"/>
      <c r="K81" s="25" t="inlineStr"/>
      <c r="L81" s="25" t="inlineStr"/>
      <c r="M81" s="25" t="inlineStr"/>
      <c r="N81" s="25" t="inlineStr"/>
      <c r="O81" s="24" t="inlineStr"/>
      <c r="P81" s="25" t="inlineStr"/>
      <c r="Q81" s="24" t="inlineStr"/>
      <c r="R81" s="24" t="inlineStr"/>
      <c r="S81" s="24" t="inlineStr"/>
      <c r="T81" s="25" t="inlineStr"/>
    </row>
    <row r="82">
      <c r="A82" s="24" t="inlineStr"/>
      <c r="B82" s="24" t="inlineStr"/>
      <c r="C82" s="23" t="inlineStr"/>
      <c r="D82" s="29">
        <f>IFERROR(VLOOKUP($C82,'Test Cases'!$A:$H,8,FALSE),"")</f>
        <v/>
      </c>
      <c r="E82" s="29">
        <f>IFERROR(VLOOKUP($C82,'Test Cases'!$A:$G,7,FALSE),"")</f>
        <v/>
      </c>
      <c r="F82" s="30">
        <f>IFERROR(VLOOKUP($C82,'Test Cases'!$A:$I,9,FALSE),"")</f>
        <v/>
      </c>
      <c r="G82" s="29">
        <f>IFERROR(VLOOKUP($C82,'Test Cases'!$A:$K,11,FALSE),"")</f>
        <v/>
      </c>
      <c r="H82" s="24" t="inlineStr"/>
      <c r="I82" s="24" t="inlineStr">
        <is>
          <t>Open</t>
        </is>
      </c>
      <c r="J82" s="24" t="inlineStr"/>
      <c r="K82" s="25" t="inlineStr"/>
      <c r="L82" s="25" t="inlineStr"/>
      <c r="M82" s="25" t="inlineStr"/>
      <c r="N82" s="25" t="inlineStr"/>
      <c r="O82" s="24" t="inlineStr"/>
      <c r="P82" s="25" t="inlineStr"/>
      <c r="Q82" s="24" t="inlineStr"/>
      <c r="R82" s="24" t="inlineStr"/>
      <c r="S82" s="24" t="inlineStr"/>
      <c r="T82" s="25" t="inlineStr"/>
    </row>
    <row r="83">
      <c r="A83" s="24" t="inlineStr"/>
      <c r="B83" s="24" t="inlineStr"/>
      <c r="C83" s="23" t="inlineStr"/>
      <c r="D83" s="29">
        <f>IFERROR(VLOOKUP($C83,'Test Cases'!$A:$H,8,FALSE),"")</f>
        <v/>
      </c>
      <c r="E83" s="29">
        <f>IFERROR(VLOOKUP($C83,'Test Cases'!$A:$G,7,FALSE),"")</f>
        <v/>
      </c>
      <c r="F83" s="30">
        <f>IFERROR(VLOOKUP($C83,'Test Cases'!$A:$I,9,FALSE),"")</f>
        <v/>
      </c>
      <c r="G83" s="29">
        <f>IFERROR(VLOOKUP($C83,'Test Cases'!$A:$K,11,FALSE),"")</f>
        <v/>
      </c>
      <c r="H83" s="24" t="inlineStr"/>
      <c r="I83" s="24" t="inlineStr">
        <is>
          <t>Open</t>
        </is>
      </c>
      <c r="J83" s="24" t="inlineStr"/>
      <c r="K83" s="25" t="inlineStr"/>
      <c r="L83" s="25" t="inlineStr"/>
      <c r="M83" s="25" t="inlineStr"/>
      <c r="N83" s="25" t="inlineStr"/>
      <c r="O83" s="24" t="inlineStr"/>
      <c r="P83" s="25" t="inlineStr"/>
      <c r="Q83" s="24" t="inlineStr"/>
      <c r="R83" s="24" t="inlineStr"/>
      <c r="S83" s="24" t="inlineStr"/>
      <c r="T83" s="25" t="inlineStr"/>
    </row>
    <row r="84">
      <c r="A84" s="24" t="inlineStr"/>
      <c r="B84" s="24" t="inlineStr"/>
      <c r="C84" s="23" t="inlineStr"/>
      <c r="D84" s="29">
        <f>IFERROR(VLOOKUP($C84,'Test Cases'!$A:$H,8,FALSE),"")</f>
        <v/>
      </c>
      <c r="E84" s="29">
        <f>IFERROR(VLOOKUP($C84,'Test Cases'!$A:$G,7,FALSE),"")</f>
        <v/>
      </c>
      <c r="F84" s="30">
        <f>IFERROR(VLOOKUP($C84,'Test Cases'!$A:$I,9,FALSE),"")</f>
        <v/>
      </c>
      <c r="G84" s="29">
        <f>IFERROR(VLOOKUP($C84,'Test Cases'!$A:$K,11,FALSE),"")</f>
        <v/>
      </c>
      <c r="H84" s="24" t="inlineStr"/>
      <c r="I84" s="24" t="inlineStr">
        <is>
          <t>Open</t>
        </is>
      </c>
      <c r="J84" s="24" t="inlineStr"/>
      <c r="K84" s="25" t="inlineStr"/>
      <c r="L84" s="25" t="inlineStr"/>
      <c r="M84" s="25" t="inlineStr"/>
      <c r="N84" s="25" t="inlineStr"/>
      <c r="O84" s="24" t="inlineStr"/>
      <c r="P84" s="25" t="inlineStr"/>
      <c r="Q84" s="24" t="inlineStr"/>
      <c r="R84" s="24" t="inlineStr"/>
      <c r="S84" s="24" t="inlineStr"/>
      <c r="T84" s="25" t="inlineStr"/>
    </row>
    <row r="85">
      <c r="A85" s="24" t="inlineStr"/>
      <c r="B85" s="24" t="inlineStr"/>
      <c r="C85" s="23" t="inlineStr"/>
      <c r="D85" s="29">
        <f>IFERROR(VLOOKUP($C85,'Test Cases'!$A:$H,8,FALSE),"")</f>
        <v/>
      </c>
      <c r="E85" s="29">
        <f>IFERROR(VLOOKUP($C85,'Test Cases'!$A:$G,7,FALSE),"")</f>
        <v/>
      </c>
      <c r="F85" s="30">
        <f>IFERROR(VLOOKUP($C85,'Test Cases'!$A:$I,9,FALSE),"")</f>
        <v/>
      </c>
      <c r="G85" s="29">
        <f>IFERROR(VLOOKUP($C85,'Test Cases'!$A:$K,11,FALSE),"")</f>
        <v/>
      </c>
      <c r="H85" s="24" t="inlineStr"/>
      <c r="I85" s="24" t="inlineStr">
        <is>
          <t>Open</t>
        </is>
      </c>
      <c r="J85" s="24" t="inlineStr"/>
      <c r="K85" s="25" t="inlineStr"/>
      <c r="L85" s="25" t="inlineStr"/>
      <c r="M85" s="25" t="inlineStr"/>
      <c r="N85" s="25" t="inlineStr"/>
      <c r="O85" s="24" t="inlineStr"/>
      <c r="P85" s="25" t="inlineStr"/>
      <c r="Q85" s="24" t="inlineStr"/>
      <c r="R85" s="24" t="inlineStr"/>
      <c r="S85" s="24" t="inlineStr"/>
      <c r="T85" s="25" t="inlineStr"/>
    </row>
    <row r="86">
      <c r="A86" s="24" t="inlineStr"/>
      <c r="B86" s="24" t="inlineStr"/>
      <c r="C86" s="23" t="inlineStr"/>
      <c r="D86" s="29">
        <f>IFERROR(VLOOKUP($C86,'Test Cases'!$A:$H,8,FALSE),"")</f>
        <v/>
      </c>
      <c r="E86" s="29">
        <f>IFERROR(VLOOKUP($C86,'Test Cases'!$A:$G,7,FALSE),"")</f>
        <v/>
      </c>
      <c r="F86" s="30">
        <f>IFERROR(VLOOKUP($C86,'Test Cases'!$A:$I,9,FALSE),"")</f>
        <v/>
      </c>
      <c r="G86" s="29">
        <f>IFERROR(VLOOKUP($C86,'Test Cases'!$A:$K,11,FALSE),"")</f>
        <v/>
      </c>
      <c r="H86" s="24" t="inlineStr"/>
      <c r="I86" s="24" t="inlineStr">
        <is>
          <t>Open</t>
        </is>
      </c>
      <c r="J86" s="24" t="inlineStr"/>
      <c r="K86" s="25" t="inlineStr"/>
      <c r="L86" s="25" t="inlineStr"/>
      <c r="M86" s="25" t="inlineStr"/>
      <c r="N86" s="25" t="inlineStr"/>
      <c r="O86" s="24" t="inlineStr"/>
      <c r="P86" s="25" t="inlineStr"/>
      <c r="Q86" s="24" t="inlineStr"/>
      <c r="R86" s="24" t="inlineStr"/>
      <c r="S86" s="24" t="inlineStr"/>
      <c r="T86" s="25" t="inlineStr"/>
    </row>
    <row r="87">
      <c r="A87" s="24" t="inlineStr"/>
      <c r="B87" s="24" t="inlineStr"/>
      <c r="C87" s="23" t="inlineStr"/>
      <c r="D87" s="29">
        <f>IFERROR(VLOOKUP($C87,'Test Cases'!$A:$H,8,FALSE),"")</f>
        <v/>
      </c>
      <c r="E87" s="29">
        <f>IFERROR(VLOOKUP($C87,'Test Cases'!$A:$G,7,FALSE),"")</f>
        <v/>
      </c>
      <c r="F87" s="30">
        <f>IFERROR(VLOOKUP($C87,'Test Cases'!$A:$I,9,FALSE),"")</f>
        <v/>
      </c>
      <c r="G87" s="29">
        <f>IFERROR(VLOOKUP($C87,'Test Cases'!$A:$K,11,FALSE),"")</f>
        <v/>
      </c>
      <c r="H87" s="24" t="inlineStr"/>
      <c r="I87" s="24" t="inlineStr">
        <is>
          <t>Open</t>
        </is>
      </c>
      <c r="J87" s="24" t="inlineStr"/>
      <c r="K87" s="25" t="inlineStr"/>
      <c r="L87" s="25" t="inlineStr"/>
      <c r="M87" s="25" t="inlineStr"/>
      <c r="N87" s="25" t="inlineStr"/>
      <c r="O87" s="24" t="inlineStr"/>
      <c r="P87" s="25" t="inlineStr"/>
      <c r="Q87" s="24" t="inlineStr"/>
      <c r="R87" s="24" t="inlineStr"/>
      <c r="S87" s="24" t="inlineStr"/>
      <c r="T87" s="25" t="inlineStr"/>
    </row>
    <row r="88">
      <c r="A88" s="24" t="inlineStr"/>
      <c r="B88" s="24" t="inlineStr"/>
      <c r="C88" s="23" t="inlineStr"/>
      <c r="D88" s="29">
        <f>IFERROR(VLOOKUP($C88,'Test Cases'!$A:$H,8,FALSE),"")</f>
        <v/>
      </c>
      <c r="E88" s="29">
        <f>IFERROR(VLOOKUP($C88,'Test Cases'!$A:$G,7,FALSE),"")</f>
        <v/>
      </c>
      <c r="F88" s="30">
        <f>IFERROR(VLOOKUP($C88,'Test Cases'!$A:$I,9,FALSE),"")</f>
        <v/>
      </c>
      <c r="G88" s="29">
        <f>IFERROR(VLOOKUP($C88,'Test Cases'!$A:$K,11,FALSE),"")</f>
        <v/>
      </c>
      <c r="H88" s="24" t="inlineStr"/>
      <c r="I88" s="24" t="inlineStr">
        <is>
          <t>Open</t>
        </is>
      </c>
      <c r="J88" s="24" t="inlineStr"/>
      <c r="K88" s="25" t="inlineStr"/>
      <c r="L88" s="25" t="inlineStr"/>
      <c r="M88" s="25" t="inlineStr"/>
      <c r="N88" s="25" t="inlineStr"/>
      <c r="O88" s="24" t="inlineStr"/>
      <c r="P88" s="25" t="inlineStr"/>
      <c r="Q88" s="24" t="inlineStr"/>
      <c r="R88" s="24" t="inlineStr"/>
      <c r="S88" s="24" t="inlineStr"/>
      <c r="T88" s="25" t="inlineStr"/>
    </row>
    <row r="89">
      <c r="A89" s="24" t="inlineStr"/>
      <c r="B89" s="24" t="inlineStr"/>
      <c r="C89" s="23" t="inlineStr"/>
      <c r="D89" s="29">
        <f>IFERROR(VLOOKUP($C89,'Test Cases'!$A:$H,8,FALSE),"")</f>
        <v/>
      </c>
      <c r="E89" s="29">
        <f>IFERROR(VLOOKUP($C89,'Test Cases'!$A:$G,7,FALSE),"")</f>
        <v/>
      </c>
      <c r="F89" s="30">
        <f>IFERROR(VLOOKUP($C89,'Test Cases'!$A:$I,9,FALSE),"")</f>
        <v/>
      </c>
      <c r="G89" s="29">
        <f>IFERROR(VLOOKUP($C89,'Test Cases'!$A:$K,11,FALSE),"")</f>
        <v/>
      </c>
      <c r="H89" s="24" t="inlineStr"/>
      <c r="I89" s="24" t="inlineStr">
        <is>
          <t>Open</t>
        </is>
      </c>
      <c r="J89" s="24" t="inlineStr"/>
      <c r="K89" s="25" t="inlineStr"/>
      <c r="L89" s="25" t="inlineStr"/>
      <c r="M89" s="25" t="inlineStr"/>
      <c r="N89" s="25" t="inlineStr"/>
      <c r="O89" s="24" t="inlineStr"/>
      <c r="P89" s="25" t="inlineStr"/>
      <c r="Q89" s="24" t="inlineStr"/>
      <c r="R89" s="24" t="inlineStr"/>
      <c r="S89" s="24" t="inlineStr"/>
      <c r="T89" s="25" t="inlineStr"/>
    </row>
    <row r="90">
      <c r="A90" s="24" t="inlineStr"/>
      <c r="B90" s="24" t="inlineStr"/>
      <c r="C90" s="23" t="inlineStr"/>
      <c r="D90" s="29">
        <f>IFERROR(VLOOKUP($C90,'Test Cases'!$A:$H,8,FALSE),"")</f>
        <v/>
      </c>
      <c r="E90" s="29">
        <f>IFERROR(VLOOKUP($C90,'Test Cases'!$A:$G,7,FALSE),"")</f>
        <v/>
      </c>
      <c r="F90" s="30">
        <f>IFERROR(VLOOKUP($C90,'Test Cases'!$A:$I,9,FALSE),"")</f>
        <v/>
      </c>
      <c r="G90" s="29">
        <f>IFERROR(VLOOKUP($C90,'Test Cases'!$A:$K,11,FALSE),"")</f>
        <v/>
      </c>
      <c r="H90" s="24" t="inlineStr"/>
      <c r="I90" s="24" t="inlineStr">
        <is>
          <t>Open</t>
        </is>
      </c>
      <c r="J90" s="24" t="inlineStr"/>
      <c r="K90" s="25" t="inlineStr"/>
      <c r="L90" s="25" t="inlineStr"/>
      <c r="M90" s="25" t="inlineStr"/>
      <c r="N90" s="25" t="inlineStr"/>
      <c r="O90" s="24" t="inlineStr"/>
      <c r="P90" s="25" t="inlineStr"/>
      <c r="Q90" s="24" t="inlineStr"/>
      <c r="R90" s="24" t="inlineStr"/>
      <c r="S90" s="24" t="inlineStr"/>
      <c r="T90" s="25" t="inlineStr"/>
    </row>
    <row r="91">
      <c r="A91" s="24" t="inlineStr"/>
      <c r="B91" s="24" t="inlineStr"/>
      <c r="C91" s="23" t="inlineStr"/>
      <c r="D91" s="29">
        <f>IFERROR(VLOOKUP($C91,'Test Cases'!$A:$H,8,FALSE),"")</f>
        <v/>
      </c>
      <c r="E91" s="29">
        <f>IFERROR(VLOOKUP($C91,'Test Cases'!$A:$G,7,FALSE),"")</f>
        <v/>
      </c>
      <c r="F91" s="30">
        <f>IFERROR(VLOOKUP($C91,'Test Cases'!$A:$I,9,FALSE),"")</f>
        <v/>
      </c>
      <c r="G91" s="29">
        <f>IFERROR(VLOOKUP($C91,'Test Cases'!$A:$K,11,FALSE),"")</f>
        <v/>
      </c>
      <c r="H91" s="24" t="inlineStr"/>
      <c r="I91" s="24" t="inlineStr">
        <is>
          <t>Open</t>
        </is>
      </c>
      <c r="J91" s="24" t="inlineStr"/>
      <c r="K91" s="25" t="inlineStr"/>
      <c r="L91" s="25" t="inlineStr"/>
      <c r="M91" s="25" t="inlineStr"/>
      <c r="N91" s="25" t="inlineStr"/>
      <c r="O91" s="24" t="inlineStr"/>
      <c r="P91" s="25" t="inlineStr"/>
      <c r="Q91" s="24" t="inlineStr"/>
      <c r="R91" s="24" t="inlineStr"/>
      <c r="S91" s="24" t="inlineStr"/>
      <c r="T91" s="25" t="inlineStr"/>
    </row>
    <row r="92">
      <c r="A92" s="24" t="inlineStr"/>
      <c r="B92" s="24" t="inlineStr"/>
      <c r="C92" s="23" t="inlineStr"/>
      <c r="D92" s="29">
        <f>IFERROR(VLOOKUP($C92,'Test Cases'!$A:$H,8,FALSE),"")</f>
        <v/>
      </c>
      <c r="E92" s="29">
        <f>IFERROR(VLOOKUP($C92,'Test Cases'!$A:$G,7,FALSE),"")</f>
        <v/>
      </c>
      <c r="F92" s="30">
        <f>IFERROR(VLOOKUP($C92,'Test Cases'!$A:$I,9,FALSE),"")</f>
        <v/>
      </c>
      <c r="G92" s="29">
        <f>IFERROR(VLOOKUP($C92,'Test Cases'!$A:$K,11,FALSE),"")</f>
        <v/>
      </c>
      <c r="H92" s="24" t="inlineStr"/>
      <c r="I92" s="24" t="inlineStr">
        <is>
          <t>Open</t>
        </is>
      </c>
      <c r="J92" s="24" t="inlineStr"/>
      <c r="K92" s="25" t="inlineStr"/>
      <c r="L92" s="25" t="inlineStr"/>
      <c r="M92" s="25" t="inlineStr"/>
      <c r="N92" s="25" t="inlineStr"/>
      <c r="O92" s="24" t="inlineStr"/>
      <c r="P92" s="25" t="inlineStr"/>
      <c r="Q92" s="24" t="inlineStr"/>
      <c r="R92" s="24" t="inlineStr"/>
      <c r="S92" s="24" t="inlineStr"/>
      <c r="T92" s="25" t="inlineStr"/>
    </row>
    <row r="93">
      <c r="A93" s="24" t="inlineStr"/>
      <c r="B93" s="24" t="inlineStr"/>
      <c r="C93" s="23" t="inlineStr"/>
      <c r="D93" s="29">
        <f>IFERROR(VLOOKUP($C93,'Test Cases'!$A:$H,8,FALSE),"")</f>
        <v/>
      </c>
      <c r="E93" s="29">
        <f>IFERROR(VLOOKUP($C93,'Test Cases'!$A:$G,7,FALSE),"")</f>
        <v/>
      </c>
      <c r="F93" s="30">
        <f>IFERROR(VLOOKUP($C93,'Test Cases'!$A:$I,9,FALSE),"")</f>
        <v/>
      </c>
      <c r="G93" s="29">
        <f>IFERROR(VLOOKUP($C93,'Test Cases'!$A:$K,11,FALSE),"")</f>
        <v/>
      </c>
      <c r="H93" s="24" t="inlineStr"/>
      <c r="I93" s="24" t="inlineStr">
        <is>
          <t>Open</t>
        </is>
      </c>
      <c r="J93" s="24" t="inlineStr"/>
      <c r="K93" s="25" t="inlineStr"/>
      <c r="L93" s="25" t="inlineStr"/>
      <c r="M93" s="25" t="inlineStr"/>
      <c r="N93" s="25" t="inlineStr"/>
      <c r="O93" s="24" t="inlineStr"/>
      <c r="P93" s="25" t="inlineStr"/>
      <c r="Q93" s="24" t="inlineStr"/>
      <c r="R93" s="24" t="inlineStr"/>
      <c r="S93" s="24" t="inlineStr"/>
      <c r="T93" s="25" t="inlineStr"/>
    </row>
    <row r="94">
      <c r="A94" s="24" t="inlineStr"/>
      <c r="B94" s="24" t="inlineStr"/>
      <c r="C94" s="23" t="inlineStr"/>
      <c r="D94" s="29">
        <f>IFERROR(VLOOKUP($C94,'Test Cases'!$A:$H,8,FALSE),"")</f>
        <v/>
      </c>
      <c r="E94" s="29">
        <f>IFERROR(VLOOKUP($C94,'Test Cases'!$A:$G,7,FALSE),"")</f>
        <v/>
      </c>
      <c r="F94" s="30">
        <f>IFERROR(VLOOKUP($C94,'Test Cases'!$A:$I,9,FALSE),"")</f>
        <v/>
      </c>
      <c r="G94" s="29">
        <f>IFERROR(VLOOKUP($C94,'Test Cases'!$A:$K,11,FALSE),"")</f>
        <v/>
      </c>
      <c r="H94" s="24" t="inlineStr"/>
      <c r="I94" s="24" t="inlineStr">
        <is>
          <t>Open</t>
        </is>
      </c>
      <c r="J94" s="24" t="inlineStr"/>
      <c r="K94" s="25" t="inlineStr"/>
      <c r="L94" s="25" t="inlineStr"/>
      <c r="M94" s="25" t="inlineStr"/>
      <c r="N94" s="25" t="inlineStr"/>
      <c r="O94" s="24" t="inlineStr"/>
      <c r="P94" s="25" t="inlineStr"/>
      <c r="Q94" s="24" t="inlineStr"/>
      <c r="R94" s="24" t="inlineStr"/>
      <c r="S94" s="24" t="inlineStr"/>
      <c r="T94" s="25" t="inlineStr"/>
    </row>
    <row r="95">
      <c r="A95" s="24" t="inlineStr"/>
      <c r="B95" s="24" t="inlineStr"/>
      <c r="C95" s="23" t="inlineStr"/>
      <c r="D95" s="29">
        <f>IFERROR(VLOOKUP($C95,'Test Cases'!$A:$H,8,FALSE),"")</f>
        <v/>
      </c>
      <c r="E95" s="29">
        <f>IFERROR(VLOOKUP($C95,'Test Cases'!$A:$G,7,FALSE),"")</f>
        <v/>
      </c>
      <c r="F95" s="30">
        <f>IFERROR(VLOOKUP($C95,'Test Cases'!$A:$I,9,FALSE),"")</f>
        <v/>
      </c>
      <c r="G95" s="29">
        <f>IFERROR(VLOOKUP($C95,'Test Cases'!$A:$K,11,FALSE),"")</f>
        <v/>
      </c>
      <c r="H95" s="24" t="inlineStr"/>
      <c r="I95" s="24" t="inlineStr">
        <is>
          <t>Open</t>
        </is>
      </c>
      <c r="J95" s="24" t="inlineStr"/>
      <c r="K95" s="25" t="inlineStr"/>
      <c r="L95" s="25" t="inlineStr"/>
      <c r="M95" s="25" t="inlineStr"/>
      <c r="N95" s="25" t="inlineStr"/>
      <c r="O95" s="24" t="inlineStr"/>
      <c r="P95" s="25" t="inlineStr"/>
      <c r="Q95" s="24" t="inlineStr"/>
      <c r="R95" s="24" t="inlineStr"/>
      <c r="S95" s="24" t="inlineStr"/>
      <c r="T95" s="25" t="inlineStr"/>
    </row>
    <row r="96">
      <c r="A96" s="24" t="inlineStr"/>
      <c r="B96" s="24" t="inlineStr"/>
      <c r="C96" s="23" t="inlineStr"/>
      <c r="D96" s="29">
        <f>IFERROR(VLOOKUP($C96,'Test Cases'!$A:$H,8,FALSE),"")</f>
        <v/>
      </c>
      <c r="E96" s="29">
        <f>IFERROR(VLOOKUP($C96,'Test Cases'!$A:$G,7,FALSE),"")</f>
        <v/>
      </c>
      <c r="F96" s="30">
        <f>IFERROR(VLOOKUP($C96,'Test Cases'!$A:$I,9,FALSE),"")</f>
        <v/>
      </c>
      <c r="G96" s="29">
        <f>IFERROR(VLOOKUP($C96,'Test Cases'!$A:$K,11,FALSE),"")</f>
        <v/>
      </c>
      <c r="H96" s="24" t="inlineStr"/>
      <c r="I96" s="24" t="inlineStr">
        <is>
          <t>Open</t>
        </is>
      </c>
      <c r="J96" s="24" t="inlineStr"/>
      <c r="K96" s="25" t="inlineStr"/>
      <c r="L96" s="25" t="inlineStr"/>
      <c r="M96" s="25" t="inlineStr"/>
      <c r="N96" s="25" t="inlineStr"/>
      <c r="O96" s="24" t="inlineStr"/>
      <c r="P96" s="25" t="inlineStr"/>
      <c r="Q96" s="24" t="inlineStr"/>
      <c r="R96" s="24" t="inlineStr"/>
      <c r="S96" s="24" t="inlineStr"/>
      <c r="T96" s="25" t="inlineStr"/>
    </row>
    <row r="97">
      <c r="A97" s="24" t="inlineStr"/>
      <c r="B97" s="24" t="inlineStr"/>
      <c r="C97" s="23" t="inlineStr"/>
      <c r="D97" s="29">
        <f>IFERROR(VLOOKUP($C97,'Test Cases'!$A:$H,8,FALSE),"")</f>
        <v/>
      </c>
      <c r="E97" s="29">
        <f>IFERROR(VLOOKUP($C97,'Test Cases'!$A:$G,7,FALSE),"")</f>
        <v/>
      </c>
      <c r="F97" s="30">
        <f>IFERROR(VLOOKUP($C97,'Test Cases'!$A:$I,9,FALSE),"")</f>
        <v/>
      </c>
      <c r="G97" s="29">
        <f>IFERROR(VLOOKUP($C97,'Test Cases'!$A:$K,11,FALSE),"")</f>
        <v/>
      </c>
      <c r="H97" s="24" t="inlineStr"/>
      <c r="I97" s="24" t="inlineStr">
        <is>
          <t>Open</t>
        </is>
      </c>
      <c r="J97" s="24" t="inlineStr"/>
      <c r="K97" s="25" t="inlineStr"/>
      <c r="L97" s="25" t="inlineStr"/>
      <c r="M97" s="25" t="inlineStr"/>
      <c r="N97" s="25" t="inlineStr"/>
      <c r="O97" s="24" t="inlineStr"/>
      <c r="P97" s="25" t="inlineStr"/>
      <c r="Q97" s="24" t="inlineStr"/>
      <c r="R97" s="24" t="inlineStr"/>
      <c r="S97" s="24" t="inlineStr"/>
      <c r="T97" s="25" t="inlineStr"/>
    </row>
    <row r="98">
      <c r="A98" s="24" t="inlineStr"/>
      <c r="B98" s="24" t="inlineStr"/>
      <c r="C98" s="23" t="inlineStr"/>
      <c r="D98" s="29">
        <f>IFERROR(VLOOKUP($C98,'Test Cases'!$A:$H,8,FALSE),"")</f>
        <v/>
      </c>
      <c r="E98" s="29">
        <f>IFERROR(VLOOKUP($C98,'Test Cases'!$A:$G,7,FALSE),"")</f>
        <v/>
      </c>
      <c r="F98" s="30">
        <f>IFERROR(VLOOKUP($C98,'Test Cases'!$A:$I,9,FALSE),"")</f>
        <v/>
      </c>
      <c r="G98" s="29">
        <f>IFERROR(VLOOKUP($C98,'Test Cases'!$A:$K,11,FALSE),"")</f>
        <v/>
      </c>
      <c r="H98" s="24" t="inlineStr"/>
      <c r="I98" s="24" t="inlineStr">
        <is>
          <t>Open</t>
        </is>
      </c>
      <c r="J98" s="24" t="inlineStr"/>
      <c r="K98" s="25" t="inlineStr"/>
      <c r="L98" s="25" t="inlineStr"/>
      <c r="M98" s="25" t="inlineStr"/>
      <c r="N98" s="25" t="inlineStr"/>
      <c r="O98" s="24" t="inlineStr"/>
      <c r="P98" s="25" t="inlineStr"/>
      <c r="Q98" s="24" t="inlineStr"/>
      <c r="R98" s="24" t="inlineStr"/>
      <c r="S98" s="24" t="inlineStr"/>
      <c r="T98" s="25" t="inlineStr"/>
    </row>
    <row r="99">
      <c r="A99" s="24" t="inlineStr"/>
      <c r="B99" s="24" t="inlineStr"/>
      <c r="C99" s="23" t="inlineStr"/>
      <c r="D99" s="29">
        <f>IFERROR(VLOOKUP($C99,'Test Cases'!$A:$H,8,FALSE),"")</f>
        <v/>
      </c>
      <c r="E99" s="29">
        <f>IFERROR(VLOOKUP($C99,'Test Cases'!$A:$G,7,FALSE),"")</f>
        <v/>
      </c>
      <c r="F99" s="30">
        <f>IFERROR(VLOOKUP($C99,'Test Cases'!$A:$I,9,FALSE),"")</f>
        <v/>
      </c>
      <c r="G99" s="29">
        <f>IFERROR(VLOOKUP($C99,'Test Cases'!$A:$K,11,FALSE),"")</f>
        <v/>
      </c>
      <c r="H99" s="24" t="inlineStr"/>
      <c r="I99" s="24" t="inlineStr">
        <is>
          <t>Open</t>
        </is>
      </c>
      <c r="J99" s="24" t="inlineStr"/>
      <c r="K99" s="25" t="inlineStr"/>
      <c r="L99" s="25" t="inlineStr"/>
      <c r="M99" s="25" t="inlineStr"/>
      <c r="N99" s="25" t="inlineStr"/>
      <c r="O99" s="24" t="inlineStr"/>
      <c r="P99" s="25" t="inlineStr"/>
      <c r="Q99" s="24" t="inlineStr"/>
      <c r="R99" s="24" t="inlineStr"/>
      <c r="S99" s="24" t="inlineStr"/>
      <c r="T99" s="25" t="inlineStr"/>
    </row>
    <row r="100">
      <c r="A100" s="24" t="inlineStr"/>
      <c r="B100" s="24" t="inlineStr"/>
      <c r="C100" s="23" t="inlineStr"/>
      <c r="D100" s="29">
        <f>IFERROR(VLOOKUP($C100,'Test Cases'!$A:$H,8,FALSE),"")</f>
        <v/>
      </c>
      <c r="E100" s="29">
        <f>IFERROR(VLOOKUP($C100,'Test Cases'!$A:$G,7,FALSE),"")</f>
        <v/>
      </c>
      <c r="F100" s="30">
        <f>IFERROR(VLOOKUP($C100,'Test Cases'!$A:$I,9,FALSE),"")</f>
        <v/>
      </c>
      <c r="G100" s="29">
        <f>IFERROR(VLOOKUP($C100,'Test Cases'!$A:$K,11,FALSE),"")</f>
        <v/>
      </c>
      <c r="H100" s="24" t="inlineStr"/>
      <c r="I100" s="24" t="inlineStr">
        <is>
          <t>Open</t>
        </is>
      </c>
      <c r="J100" s="24" t="inlineStr"/>
      <c r="K100" s="25" t="inlineStr"/>
      <c r="L100" s="25" t="inlineStr"/>
      <c r="M100" s="25" t="inlineStr"/>
      <c r="N100" s="25" t="inlineStr"/>
      <c r="O100" s="24" t="inlineStr"/>
      <c r="P100" s="25" t="inlineStr"/>
      <c r="Q100" s="24" t="inlineStr"/>
      <c r="R100" s="24" t="inlineStr"/>
      <c r="S100" s="24" t="inlineStr"/>
      <c r="T100" s="25" t="inlineStr"/>
    </row>
    <row r="101">
      <c r="A101" s="24" t="inlineStr"/>
      <c r="B101" s="24" t="inlineStr"/>
      <c r="C101" s="23" t="inlineStr"/>
      <c r="D101" s="29">
        <f>IFERROR(VLOOKUP($C101,'Test Cases'!$A:$H,8,FALSE),"")</f>
        <v/>
      </c>
      <c r="E101" s="29">
        <f>IFERROR(VLOOKUP($C101,'Test Cases'!$A:$G,7,FALSE),"")</f>
        <v/>
      </c>
      <c r="F101" s="30">
        <f>IFERROR(VLOOKUP($C101,'Test Cases'!$A:$I,9,FALSE),"")</f>
        <v/>
      </c>
      <c r="G101" s="29">
        <f>IFERROR(VLOOKUP($C101,'Test Cases'!$A:$K,11,FALSE),"")</f>
        <v/>
      </c>
      <c r="H101" s="24" t="inlineStr"/>
      <c r="I101" s="24" t="inlineStr">
        <is>
          <t>Open</t>
        </is>
      </c>
      <c r="J101" s="24" t="inlineStr"/>
      <c r="K101" s="25" t="inlineStr"/>
      <c r="L101" s="25" t="inlineStr"/>
      <c r="M101" s="25" t="inlineStr"/>
      <c r="N101" s="25" t="inlineStr"/>
      <c r="O101" s="24" t="inlineStr"/>
      <c r="P101" s="25" t="inlineStr"/>
      <c r="Q101" s="24" t="inlineStr"/>
      <c r="R101" s="24" t="inlineStr"/>
      <c r="S101" s="24" t="inlineStr"/>
      <c r="T101" s="25" t="inlineStr"/>
    </row>
    <row r="102">
      <c r="A102" s="24" t="inlineStr"/>
      <c r="B102" s="24" t="inlineStr"/>
      <c r="C102" s="23" t="inlineStr"/>
      <c r="D102" s="29">
        <f>IFERROR(VLOOKUP($C102,'Test Cases'!$A:$H,8,FALSE),"")</f>
        <v/>
      </c>
      <c r="E102" s="29">
        <f>IFERROR(VLOOKUP($C102,'Test Cases'!$A:$G,7,FALSE),"")</f>
        <v/>
      </c>
      <c r="F102" s="30">
        <f>IFERROR(VLOOKUP($C102,'Test Cases'!$A:$I,9,FALSE),"")</f>
        <v/>
      </c>
      <c r="G102" s="29">
        <f>IFERROR(VLOOKUP($C102,'Test Cases'!$A:$K,11,FALSE),"")</f>
        <v/>
      </c>
      <c r="H102" s="24" t="inlineStr"/>
      <c r="I102" s="24" t="inlineStr">
        <is>
          <t>Open</t>
        </is>
      </c>
      <c r="J102" s="24" t="inlineStr"/>
      <c r="K102" s="25" t="inlineStr"/>
      <c r="L102" s="25" t="inlineStr"/>
      <c r="M102" s="25" t="inlineStr"/>
      <c r="N102" s="25" t="inlineStr"/>
      <c r="O102" s="24" t="inlineStr"/>
      <c r="P102" s="25" t="inlineStr"/>
      <c r="Q102" s="24" t="inlineStr"/>
      <c r="R102" s="24" t="inlineStr"/>
      <c r="S102" s="24" t="inlineStr"/>
      <c r="T102" s="25" t="inlineStr"/>
    </row>
    <row r="103">
      <c r="A103" s="24" t="inlineStr"/>
      <c r="B103" s="24" t="inlineStr"/>
      <c r="C103" s="23" t="inlineStr"/>
      <c r="D103" s="29">
        <f>IFERROR(VLOOKUP($C103,'Test Cases'!$A:$H,8,FALSE),"")</f>
        <v/>
      </c>
      <c r="E103" s="29">
        <f>IFERROR(VLOOKUP($C103,'Test Cases'!$A:$G,7,FALSE),"")</f>
        <v/>
      </c>
      <c r="F103" s="30">
        <f>IFERROR(VLOOKUP($C103,'Test Cases'!$A:$I,9,FALSE),"")</f>
        <v/>
      </c>
      <c r="G103" s="29">
        <f>IFERROR(VLOOKUP($C103,'Test Cases'!$A:$K,11,FALSE),"")</f>
        <v/>
      </c>
      <c r="H103" s="24" t="inlineStr"/>
      <c r="I103" s="24" t="inlineStr">
        <is>
          <t>Open</t>
        </is>
      </c>
      <c r="J103" s="24" t="inlineStr"/>
      <c r="K103" s="25" t="inlineStr"/>
      <c r="L103" s="25" t="inlineStr"/>
      <c r="M103" s="25" t="inlineStr"/>
      <c r="N103" s="25" t="inlineStr"/>
      <c r="O103" s="24" t="inlineStr"/>
      <c r="P103" s="25" t="inlineStr"/>
      <c r="Q103" s="24" t="inlineStr"/>
      <c r="R103" s="24" t="inlineStr"/>
      <c r="S103" s="24" t="inlineStr"/>
      <c r="T103" s="25" t="inlineStr"/>
    </row>
    <row r="104">
      <c r="A104" s="24" t="inlineStr"/>
      <c r="B104" s="24" t="inlineStr"/>
      <c r="C104" s="23" t="inlineStr"/>
      <c r="D104" s="29">
        <f>IFERROR(VLOOKUP($C104,'Test Cases'!$A:$H,8,FALSE),"")</f>
        <v/>
      </c>
      <c r="E104" s="29">
        <f>IFERROR(VLOOKUP($C104,'Test Cases'!$A:$G,7,FALSE),"")</f>
        <v/>
      </c>
      <c r="F104" s="30">
        <f>IFERROR(VLOOKUP($C104,'Test Cases'!$A:$I,9,FALSE),"")</f>
        <v/>
      </c>
      <c r="G104" s="29">
        <f>IFERROR(VLOOKUP($C104,'Test Cases'!$A:$K,11,FALSE),"")</f>
        <v/>
      </c>
      <c r="H104" s="24" t="inlineStr"/>
      <c r="I104" s="24" t="inlineStr">
        <is>
          <t>Open</t>
        </is>
      </c>
      <c r="J104" s="24" t="inlineStr"/>
      <c r="K104" s="25" t="inlineStr"/>
      <c r="L104" s="25" t="inlineStr"/>
      <c r="M104" s="25" t="inlineStr"/>
      <c r="N104" s="25" t="inlineStr"/>
      <c r="O104" s="24" t="inlineStr"/>
      <c r="P104" s="25" t="inlineStr"/>
      <c r="Q104" s="24" t="inlineStr"/>
      <c r="R104" s="24" t="inlineStr"/>
      <c r="S104" s="24" t="inlineStr"/>
      <c r="T104" s="25" t="inlineStr"/>
    </row>
    <row r="105">
      <c r="A105" s="24" t="inlineStr"/>
      <c r="B105" s="24" t="inlineStr"/>
      <c r="C105" s="23" t="inlineStr"/>
      <c r="D105" s="29">
        <f>IFERROR(VLOOKUP($C105,'Test Cases'!$A:$H,8,FALSE),"")</f>
        <v/>
      </c>
      <c r="E105" s="29">
        <f>IFERROR(VLOOKUP($C105,'Test Cases'!$A:$G,7,FALSE),"")</f>
        <v/>
      </c>
      <c r="F105" s="30">
        <f>IFERROR(VLOOKUP($C105,'Test Cases'!$A:$I,9,FALSE),"")</f>
        <v/>
      </c>
      <c r="G105" s="29">
        <f>IFERROR(VLOOKUP($C105,'Test Cases'!$A:$K,11,FALSE),"")</f>
        <v/>
      </c>
      <c r="H105" s="24" t="inlineStr"/>
      <c r="I105" s="24" t="inlineStr">
        <is>
          <t>Open</t>
        </is>
      </c>
      <c r="J105" s="24" t="inlineStr"/>
      <c r="K105" s="25" t="inlineStr"/>
      <c r="L105" s="25" t="inlineStr"/>
      <c r="M105" s="25" t="inlineStr"/>
      <c r="N105" s="25" t="inlineStr"/>
      <c r="O105" s="24" t="inlineStr"/>
      <c r="P105" s="25" t="inlineStr"/>
      <c r="Q105" s="24" t="inlineStr"/>
      <c r="R105" s="24" t="inlineStr"/>
      <c r="S105" s="24" t="inlineStr"/>
      <c r="T105" s="25" t="inlineStr"/>
    </row>
    <row r="106">
      <c r="A106" s="24" t="inlineStr"/>
      <c r="B106" s="24" t="inlineStr"/>
      <c r="C106" s="23" t="inlineStr"/>
      <c r="D106" s="29">
        <f>IFERROR(VLOOKUP($C106,'Test Cases'!$A:$H,8,FALSE),"")</f>
        <v/>
      </c>
      <c r="E106" s="29">
        <f>IFERROR(VLOOKUP($C106,'Test Cases'!$A:$G,7,FALSE),"")</f>
        <v/>
      </c>
      <c r="F106" s="30">
        <f>IFERROR(VLOOKUP($C106,'Test Cases'!$A:$I,9,FALSE),"")</f>
        <v/>
      </c>
      <c r="G106" s="29">
        <f>IFERROR(VLOOKUP($C106,'Test Cases'!$A:$K,11,FALSE),"")</f>
        <v/>
      </c>
      <c r="H106" s="24" t="inlineStr"/>
      <c r="I106" s="24" t="inlineStr">
        <is>
          <t>Open</t>
        </is>
      </c>
      <c r="J106" s="24" t="inlineStr"/>
      <c r="K106" s="25" t="inlineStr"/>
      <c r="L106" s="25" t="inlineStr"/>
      <c r="M106" s="25" t="inlineStr"/>
      <c r="N106" s="25" t="inlineStr"/>
      <c r="O106" s="24" t="inlineStr"/>
      <c r="P106" s="25" t="inlineStr"/>
      <c r="Q106" s="24" t="inlineStr"/>
      <c r="R106" s="24" t="inlineStr"/>
      <c r="S106" s="24" t="inlineStr"/>
      <c r="T106" s="25" t="inlineStr"/>
    </row>
    <row r="107">
      <c r="A107" s="24" t="inlineStr"/>
      <c r="B107" s="24" t="inlineStr"/>
      <c r="C107" s="23" t="inlineStr"/>
      <c r="D107" s="29">
        <f>IFERROR(VLOOKUP($C107,'Test Cases'!$A:$H,8,FALSE),"")</f>
        <v/>
      </c>
      <c r="E107" s="29">
        <f>IFERROR(VLOOKUP($C107,'Test Cases'!$A:$G,7,FALSE),"")</f>
        <v/>
      </c>
      <c r="F107" s="30">
        <f>IFERROR(VLOOKUP($C107,'Test Cases'!$A:$I,9,FALSE),"")</f>
        <v/>
      </c>
      <c r="G107" s="29">
        <f>IFERROR(VLOOKUP($C107,'Test Cases'!$A:$K,11,FALSE),"")</f>
        <v/>
      </c>
      <c r="H107" s="24" t="inlineStr"/>
      <c r="I107" s="24" t="inlineStr">
        <is>
          <t>Open</t>
        </is>
      </c>
      <c r="J107" s="24" t="inlineStr"/>
      <c r="K107" s="25" t="inlineStr"/>
      <c r="L107" s="25" t="inlineStr"/>
      <c r="M107" s="25" t="inlineStr"/>
      <c r="N107" s="25" t="inlineStr"/>
      <c r="O107" s="24" t="inlineStr"/>
      <c r="P107" s="25" t="inlineStr"/>
      <c r="Q107" s="24" t="inlineStr"/>
      <c r="R107" s="24" t="inlineStr"/>
      <c r="S107" s="24" t="inlineStr"/>
      <c r="T107" s="25" t="inlineStr"/>
    </row>
    <row r="108">
      <c r="A108" s="24" t="inlineStr"/>
      <c r="B108" s="24" t="inlineStr"/>
      <c r="C108" s="23" t="inlineStr"/>
      <c r="D108" s="29">
        <f>IFERROR(VLOOKUP($C108,'Test Cases'!$A:$H,8,FALSE),"")</f>
        <v/>
      </c>
      <c r="E108" s="29">
        <f>IFERROR(VLOOKUP($C108,'Test Cases'!$A:$G,7,FALSE),"")</f>
        <v/>
      </c>
      <c r="F108" s="30">
        <f>IFERROR(VLOOKUP($C108,'Test Cases'!$A:$I,9,FALSE),"")</f>
        <v/>
      </c>
      <c r="G108" s="29">
        <f>IFERROR(VLOOKUP($C108,'Test Cases'!$A:$K,11,FALSE),"")</f>
        <v/>
      </c>
      <c r="H108" s="24" t="inlineStr"/>
      <c r="I108" s="24" t="inlineStr">
        <is>
          <t>Open</t>
        </is>
      </c>
      <c r="J108" s="24" t="inlineStr"/>
      <c r="K108" s="25" t="inlineStr"/>
      <c r="L108" s="25" t="inlineStr"/>
      <c r="M108" s="25" t="inlineStr"/>
      <c r="N108" s="25" t="inlineStr"/>
      <c r="O108" s="24" t="inlineStr"/>
      <c r="P108" s="25" t="inlineStr"/>
      <c r="Q108" s="24" t="inlineStr"/>
      <c r="R108" s="24" t="inlineStr"/>
      <c r="S108" s="24" t="inlineStr"/>
      <c r="T108" s="25" t="inlineStr"/>
    </row>
    <row r="109">
      <c r="A109" s="24" t="inlineStr"/>
      <c r="B109" s="24" t="inlineStr"/>
      <c r="C109" s="23" t="inlineStr"/>
      <c r="D109" s="29">
        <f>IFERROR(VLOOKUP($C109,'Test Cases'!$A:$H,8,FALSE),"")</f>
        <v/>
      </c>
      <c r="E109" s="29">
        <f>IFERROR(VLOOKUP($C109,'Test Cases'!$A:$G,7,FALSE),"")</f>
        <v/>
      </c>
      <c r="F109" s="30">
        <f>IFERROR(VLOOKUP($C109,'Test Cases'!$A:$I,9,FALSE),"")</f>
        <v/>
      </c>
      <c r="G109" s="29">
        <f>IFERROR(VLOOKUP($C109,'Test Cases'!$A:$K,11,FALSE),"")</f>
        <v/>
      </c>
      <c r="H109" s="24" t="inlineStr"/>
      <c r="I109" s="24" t="inlineStr">
        <is>
          <t>Open</t>
        </is>
      </c>
      <c r="J109" s="24" t="inlineStr"/>
      <c r="K109" s="25" t="inlineStr"/>
      <c r="L109" s="25" t="inlineStr"/>
      <c r="M109" s="25" t="inlineStr"/>
      <c r="N109" s="25" t="inlineStr"/>
      <c r="O109" s="24" t="inlineStr"/>
      <c r="P109" s="25" t="inlineStr"/>
      <c r="Q109" s="24" t="inlineStr"/>
      <c r="R109" s="24" t="inlineStr"/>
      <c r="S109" s="24" t="inlineStr"/>
      <c r="T109" s="25" t="inlineStr"/>
    </row>
    <row r="110">
      <c r="A110" s="24" t="inlineStr"/>
      <c r="B110" s="24" t="inlineStr"/>
      <c r="C110" s="23" t="inlineStr"/>
      <c r="D110" s="29">
        <f>IFERROR(VLOOKUP($C110,'Test Cases'!$A:$H,8,FALSE),"")</f>
        <v/>
      </c>
      <c r="E110" s="29">
        <f>IFERROR(VLOOKUP($C110,'Test Cases'!$A:$G,7,FALSE),"")</f>
        <v/>
      </c>
      <c r="F110" s="30">
        <f>IFERROR(VLOOKUP($C110,'Test Cases'!$A:$I,9,FALSE),"")</f>
        <v/>
      </c>
      <c r="G110" s="29">
        <f>IFERROR(VLOOKUP($C110,'Test Cases'!$A:$K,11,FALSE),"")</f>
        <v/>
      </c>
      <c r="H110" s="24" t="inlineStr"/>
      <c r="I110" s="24" t="inlineStr">
        <is>
          <t>Open</t>
        </is>
      </c>
      <c r="J110" s="24" t="inlineStr"/>
      <c r="K110" s="25" t="inlineStr"/>
      <c r="L110" s="25" t="inlineStr"/>
      <c r="M110" s="25" t="inlineStr"/>
      <c r="N110" s="25" t="inlineStr"/>
      <c r="O110" s="24" t="inlineStr"/>
      <c r="P110" s="25" t="inlineStr"/>
      <c r="Q110" s="24" t="inlineStr"/>
      <c r="R110" s="24" t="inlineStr"/>
      <c r="S110" s="24" t="inlineStr"/>
      <c r="T110" s="25" t="inlineStr"/>
    </row>
    <row r="111">
      <c r="A111" s="24" t="inlineStr"/>
      <c r="B111" s="24" t="inlineStr"/>
      <c r="C111" s="23" t="inlineStr"/>
      <c r="D111" s="29">
        <f>IFERROR(VLOOKUP($C111,'Test Cases'!$A:$H,8,FALSE),"")</f>
        <v/>
      </c>
      <c r="E111" s="29">
        <f>IFERROR(VLOOKUP($C111,'Test Cases'!$A:$G,7,FALSE),"")</f>
        <v/>
      </c>
      <c r="F111" s="30">
        <f>IFERROR(VLOOKUP($C111,'Test Cases'!$A:$I,9,FALSE),"")</f>
        <v/>
      </c>
      <c r="G111" s="29">
        <f>IFERROR(VLOOKUP($C111,'Test Cases'!$A:$K,11,FALSE),"")</f>
        <v/>
      </c>
      <c r="H111" s="24" t="inlineStr"/>
      <c r="I111" s="24" t="inlineStr">
        <is>
          <t>Open</t>
        </is>
      </c>
      <c r="J111" s="24" t="inlineStr"/>
      <c r="K111" s="25" t="inlineStr"/>
      <c r="L111" s="25" t="inlineStr"/>
      <c r="M111" s="25" t="inlineStr"/>
      <c r="N111" s="25" t="inlineStr"/>
      <c r="O111" s="24" t="inlineStr"/>
      <c r="P111" s="25" t="inlineStr"/>
      <c r="Q111" s="24" t="inlineStr"/>
      <c r="R111" s="24" t="inlineStr"/>
      <c r="S111" s="24" t="inlineStr"/>
      <c r="T111" s="25" t="inlineStr"/>
    </row>
    <row r="112">
      <c r="A112" s="24" t="inlineStr"/>
      <c r="B112" s="24" t="inlineStr"/>
      <c r="C112" s="23" t="inlineStr"/>
      <c r="D112" s="29">
        <f>IFERROR(VLOOKUP($C112,'Test Cases'!$A:$H,8,FALSE),"")</f>
        <v/>
      </c>
      <c r="E112" s="29">
        <f>IFERROR(VLOOKUP($C112,'Test Cases'!$A:$G,7,FALSE),"")</f>
        <v/>
      </c>
      <c r="F112" s="30">
        <f>IFERROR(VLOOKUP($C112,'Test Cases'!$A:$I,9,FALSE),"")</f>
        <v/>
      </c>
      <c r="G112" s="29">
        <f>IFERROR(VLOOKUP($C112,'Test Cases'!$A:$K,11,FALSE),"")</f>
        <v/>
      </c>
      <c r="H112" s="24" t="inlineStr"/>
      <c r="I112" s="24" t="inlineStr">
        <is>
          <t>Open</t>
        </is>
      </c>
      <c r="J112" s="24" t="inlineStr"/>
      <c r="K112" s="25" t="inlineStr"/>
      <c r="L112" s="25" t="inlineStr"/>
      <c r="M112" s="25" t="inlineStr"/>
      <c r="N112" s="25" t="inlineStr"/>
      <c r="O112" s="24" t="inlineStr"/>
      <c r="P112" s="25" t="inlineStr"/>
      <c r="Q112" s="24" t="inlineStr"/>
      <c r="R112" s="24" t="inlineStr"/>
      <c r="S112" s="24" t="inlineStr"/>
      <c r="T112" s="25" t="inlineStr"/>
    </row>
    <row r="113">
      <c r="A113" s="24" t="inlineStr"/>
      <c r="B113" s="24" t="inlineStr"/>
      <c r="C113" s="23" t="inlineStr"/>
      <c r="D113" s="29">
        <f>IFERROR(VLOOKUP($C113,'Test Cases'!$A:$H,8,FALSE),"")</f>
        <v/>
      </c>
      <c r="E113" s="29">
        <f>IFERROR(VLOOKUP($C113,'Test Cases'!$A:$G,7,FALSE),"")</f>
        <v/>
      </c>
      <c r="F113" s="30">
        <f>IFERROR(VLOOKUP($C113,'Test Cases'!$A:$I,9,FALSE),"")</f>
        <v/>
      </c>
      <c r="G113" s="29">
        <f>IFERROR(VLOOKUP($C113,'Test Cases'!$A:$K,11,FALSE),"")</f>
        <v/>
      </c>
      <c r="H113" s="24" t="inlineStr"/>
      <c r="I113" s="24" t="inlineStr">
        <is>
          <t>Open</t>
        </is>
      </c>
      <c r="J113" s="24" t="inlineStr"/>
      <c r="K113" s="25" t="inlineStr"/>
      <c r="L113" s="25" t="inlineStr"/>
      <c r="M113" s="25" t="inlineStr"/>
      <c r="N113" s="25" t="inlineStr"/>
      <c r="O113" s="24" t="inlineStr"/>
      <c r="P113" s="25" t="inlineStr"/>
      <c r="Q113" s="24" t="inlineStr"/>
      <c r="R113" s="24" t="inlineStr"/>
      <c r="S113" s="24" t="inlineStr"/>
      <c r="T113" s="25" t="inlineStr"/>
    </row>
    <row r="114">
      <c r="A114" s="24" t="inlineStr"/>
      <c r="B114" s="24" t="inlineStr"/>
      <c r="C114" s="23" t="inlineStr"/>
      <c r="D114" s="29">
        <f>IFERROR(VLOOKUP($C114,'Test Cases'!$A:$H,8,FALSE),"")</f>
        <v/>
      </c>
      <c r="E114" s="29">
        <f>IFERROR(VLOOKUP($C114,'Test Cases'!$A:$G,7,FALSE),"")</f>
        <v/>
      </c>
      <c r="F114" s="30">
        <f>IFERROR(VLOOKUP($C114,'Test Cases'!$A:$I,9,FALSE),"")</f>
        <v/>
      </c>
      <c r="G114" s="29">
        <f>IFERROR(VLOOKUP($C114,'Test Cases'!$A:$K,11,FALSE),"")</f>
        <v/>
      </c>
      <c r="H114" s="24" t="inlineStr"/>
      <c r="I114" s="24" t="inlineStr">
        <is>
          <t>Open</t>
        </is>
      </c>
      <c r="J114" s="24" t="inlineStr"/>
      <c r="K114" s="25" t="inlineStr"/>
      <c r="L114" s="25" t="inlineStr"/>
      <c r="M114" s="25" t="inlineStr"/>
      <c r="N114" s="25" t="inlineStr"/>
      <c r="O114" s="24" t="inlineStr"/>
      <c r="P114" s="25" t="inlineStr"/>
      <c r="Q114" s="24" t="inlineStr"/>
      <c r="R114" s="24" t="inlineStr"/>
      <c r="S114" s="24" t="inlineStr"/>
      <c r="T114" s="25" t="inlineStr"/>
    </row>
    <row r="115">
      <c r="A115" s="24" t="inlineStr"/>
      <c r="B115" s="24" t="inlineStr"/>
      <c r="C115" s="23" t="inlineStr"/>
      <c r="D115" s="29">
        <f>IFERROR(VLOOKUP($C115,'Test Cases'!$A:$H,8,FALSE),"")</f>
        <v/>
      </c>
      <c r="E115" s="29">
        <f>IFERROR(VLOOKUP($C115,'Test Cases'!$A:$G,7,FALSE),"")</f>
        <v/>
      </c>
      <c r="F115" s="30">
        <f>IFERROR(VLOOKUP($C115,'Test Cases'!$A:$I,9,FALSE),"")</f>
        <v/>
      </c>
      <c r="G115" s="29">
        <f>IFERROR(VLOOKUP($C115,'Test Cases'!$A:$K,11,FALSE),"")</f>
        <v/>
      </c>
      <c r="H115" s="24" t="inlineStr"/>
      <c r="I115" s="24" t="inlineStr">
        <is>
          <t>Open</t>
        </is>
      </c>
      <c r="J115" s="24" t="inlineStr"/>
      <c r="K115" s="25" t="inlineStr"/>
      <c r="L115" s="25" t="inlineStr"/>
      <c r="M115" s="25" t="inlineStr"/>
      <c r="N115" s="25" t="inlineStr"/>
      <c r="O115" s="24" t="inlineStr"/>
      <c r="P115" s="25" t="inlineStr"/>
      <c r="Q115" s="24" t="inlineStr"/>
      <c r="R115" s="24" t="inlineStr"/>
      <c r="S115" s="24" t="inlineStr"/>
      <c r="T115" s="25" t="inlineStr"/>
    </row>
    <row r="116">
      <c r="A116" s="24" t="inlineStr"/>
      <c r="B116" s="24" t="inlineStr"/>
      <c r="C116" s="23" t="inlineStr"/>
      <c r="D116" s="29">
        <f>IFERROR(VLOOKUP($C116,'Test Cases'!$A:$H,8,FALSE),"")</f>
        <v/>
      </c>
      <c r="E116" s="29">
        <f>IFERROR(VLOOKUP($C116,'Test Cases'!$A:$G,7,FALSE),"")</f>
        <v/>
      </c>
      <c r="F116" s="30">
        <f>IFERROR(VLOOKUP($C116,'Test Cases'!$A:$I,9,FALSE),"")</f>
        <v/>
      </c>
      <c r="G116" s="29">
        <f>IFERROR(VLOOKUP($C116,'Test Cases'!$A:$K,11,FALSE),"")</f>
        <v/>
      </c>
      <c r="H116" s="24" t="inlineStr"/>
      <c r="I116" s="24" t="inlineStr">
        <is>
          <t>Open</t>
        </is>
      </c>
      <c r="J116" s="24" t="inlineStr"/>
      <c r="K116" s="25" t="inlineStr"/>
      <c r="L116" s="25" t="inlineStr"/>
      <c r="M116" s="25" t="inlineStr"/>
      <c r="N116" s="25" t="inlineStr"/>
      <c r="O116" s="24" t="inlineStr"/>
      <c r="P116" s="25" t="inlineStr"/>
      <c r="Q116" s="24" t="inlineStr"/>
      <c r="R116" s="24" t="inlineStr"/>
      <c r="S116" s="24" t="inlineStr"/>
      <c r="T116" s="25" t="inlineStr"/>
    </row>
    <row r="117">
      <c r="A117" s="24" t="inlineStr"/>
      <c r="B117" s="24" t="inlineStr"/>
      <c r="C117" s="23" t="inlineStr"/>
      <c r="D117" s="29">
        <f>IFERROR(VLOOKUP($C117,'Test Cases'!$A:$H,8,FALSE),"")</f>
        <v/>
      </c>
      <c r="E117" s="29">
        <f>IFERROR(VLOOKUP($C117,'Test Cases'!$A:$G,7,FALSE),"")</f>
        <v/>
      </c>
      <c r="F117" s="30">
        <f>IFERROR(VLOOKUP($C117,'Test Cases'!$A:$I,9,FALSE),"")</f>
        <v/>
      </c>
      <c r="G117" s="29">
        <f>IFERROR(VLOOKUP($C117,'Test Cases'!$A:$K,11,FALSE),"")</f>
        <v/>
      </c>
      <c r="H117" s="24" t="inlineStr"/>
      <c r="I117" s="24" t="inlineStr">
        <is>
          <t>Open</t>
        </is>
      </c>
      <c r="J117" s="24" t="inlineStr"/>
      <c r="K117" s="25" t="inlineStr"/>
      <c r="L117" s="25" t="inlineStr"/>
      <c r="M117" s="25" t="inlineStr"/>
      <c r="N117" s="25" t="inlineStr"/>
      <c r="O117" s="24" t="inlineStr"/>
      <c r="P117" s="25" t="inlineStr"/>
      <c r="Q117" s="24" t="inlineStr"/>
      <c r="R117" s="24" t="inlineStr"/>
      <c r="S117" s="24" t="inlineStr"/>
      <c r="T117" s="25" t="inlineStr"/>
    </row>
    <row r="118">
      <c r="A118" s="24" t="inlineStr"/>
      <c r="B118" s="24" t="inlineStr"/>
      <c r="C118" s="23" t="inlineStr"/>
      <c r="D118" s="29">
        <f>IFERROR(VLOOKUP($C118,'Test Cases'!$A:$H,8,FALSE),"")</f>
        <v/>
      </c>
      <c r="E118" s="29">
        <f>IFERROR(VLOOKUP($C118,'Test Cases'!$A:$G,7,FALSE),"")</f>
        <v/>
      </c>
      <c r="F118" s="30">
        <f>IFERROR(VLOOKUP($C118,'Test Cases'!$A:$I,9,FALSE),"")</f>
        <v/>
      </c>
      <c r="G118" s="29">
        <f>IFERROR(VLOOKUP($C118,'Test Cases'!$A:$K,11,FALSE),"")</f>
        <v/>
      </c>
      <c r="H118" s="24" t="inlineStr"/>
      <c r="I118" s="24" t="inlineStr">
        <is>
          <t>Open</t>
        </is>
      </c>
      <c r="J118" s="24" t="inlineStr"/>
      <c r="K118" s="25" t="inlineStr"/>
      <c r="L118" s="25" t="inlineStr"/>
      <c r="M118" s="25" t="inlineStr"/>
      <c r="N118" s="25" t="inlineStr"/>
      <c r="O118" s="24" t="inlineStr"/>
      <c r="P118" s="25" t="inlineStr"/>
      <c r="Q118" s="24" t="inlineStr"/>
      <c r="R118" s="24" t="inlineStr"/>
      <c r="S118" s="24" t="inlineStr"/>
      <c r="T118" s="25" t="inlineStr"/>
    </row>
    <row r="119">
      <c r="A119" s="24" t="inlineStr"/>
      <c r="B119" s="24" t="inlineStr"/>
      <c r="C119" s="23" t="inlineStr"/>
      <c r="D119" s="29">
        <f>IFERROR(VLOOKUP($C119,'Test Cases'!$A:$H,8,FALSE),"")</f>
        <v/>
      </c>
      <c r="E119" s="29">
        <f>IFERROR(VLOOKUP($C119,'Test Cases'!$A:$G,7,FALSE),"")</f>
        <v/>
      </c>
      <c r="F119" s="30">
        <f>IFERROR(VLOOKUP($C119,'Test Cases'!$A:$I,9,FALSE),"")</f>
        <v/>
      </c>
      <c r="G119" s="29">
        <f>IFERROR(VLOOKUP($C119,'Test Cases'!$A:$K,11,FALSE),"")</f>
        <v/>
      </c>
      <c r="H119" s="24" t="inlineStr"/>
      <c r="I119" s="24" t="inlineStr">
        <is>
          <t>Open</t>
        </is>
      </c>
      <c r="J119" s="24" t="inlineStr"/>
      <c r="K119" s="25" t="inlineStr"/>
      <c r="L119" s="25" t="inlineStr"/>
      <c r="M119" s="25" t="inlineStr"/>
      <c r="N119" s="25" t="inlineStr"/>
      <c r="O119" s="24" t="inlineStr"/>
      <c r="P119" s="25" t="inlineStr"/>
      <c r="Q119" s="24" t="inlineStr"/>
      <c r="R119" s="24" t="inlineStr"/>
      <c r="S119" s="24" t="inlineStr"/>
      <c r="T119" s="25" t="inlineStr"/>
    </row>
    <row r="120">
      <c r="A120" s="24" t="inlineStr"/>
      <c r="B120" s="24" t="inlineStr"/>
      <c r="C120" s="23" t="inlineStr"/>
      <c r="D120" s="29">
        <f>IFERROR(VLOOKUP($C120,'Test Cases'!$A:$H,8,FALSE),"")</f>
        <v/>
      </c>
      <c r="E120" s="29">
        <f>IFERROR(VLOOKUP($C120,'Test Cases'!$A:$G,7,FALSE),"")</f>
        <v/>
      </c>
      <c r="F120" s="30">
        <f>IFERROR(VLOOKUP($C120,'Test Cases'!$A:$I,9,FALSE),"")</f>
        <v/>
      </c>
      <c r="G120" s="29">
        <f>IFERROR(VLOOKUP($C120,'Test Cases'!$A:$K,11,FALSE),"")</f>
        <v/>
      </c>
      <c r="H120" s="24" t="inlineStr"/>
      <c r="I120" s="24" t="inlineStr">
        <is>
          <t>Open</t>
        </is>
      </c>
      <c r="J120" s="24" t="inlineStr"/>
      <c r="K120" s="25" t="inlineStr"/>
      <c r="L120" s="25" t="inlineStr"/>
      <c r="M120" s="25" t="inlineStr"/>
      <c r="N120" s="25" t="inlineStr"/>
      <c r="O120" s="24" t="inlineStr"/>
      <c r="P120" s="25" t="inlineStr"/>
      <c r="Q120" s="24" t="inlineStr"/>
      <c r="R120" s="24" t="inlineStr"/>
      <c r="S120" s="24" t="inlineStr"/>
      <c r="T120" s="25" t="inlineStr"/>
    </row>
    <row r="121">
      <c r="A121" s="24" t="inlineStr"/>
      <c r="B121" s="24" t="inlineStr"/>
      <c r="C121" s="23" t="inlineStr"/>
      <c r="D121" s="29">
        <f>IFERROR(VLOOKUP($C121,'Test Cases'!$A:$H,8,FALSE),"")</f>
        <v/>
      </c>
      <c r="E121" s="29">
        <f>IFERROR(VLOOKUP($C121,'Test Cases'!$A:$G,7,FALSE),"")</f>
        <v/>
      </c>
      <c r="F121" s="30">
        <f>IFERROR(VLOOKUP($C121,'Test Cases'!$A:$I,9,FALSE),"")</f>
        <v/>
      </c>
      <c r="G121" s="29">
        <f>IFERROR(VLOOKUP($C121,'Test Cases'!$A:$K,11,FALSE),"")</f>
        <v/>
      </c>
      <c r="H121" s="24" t="inlineStr"/>
      <c r="I121" s="24" t="inlineStr">
        <is>
          <t>Open</t>
        </is>
      </c>
      <c r="J121" s="24" t="inlineStr"/>
      <c r="K121" s="25" t="inlineStr"/>
      <c r="L121" s="25" t="inlineStr"/>
      <c r="M121" s="25" t="inlineStr"/>
      <c r="N121" s="25" t="inlineStr"/>
      <c r="O121" s="24" t="inlineStr"/>
      <c r="P121" s="25" t="inlineStr"/>
      <c r="Q121" s="24" t="inlineStr"/>
      <c r="R121" s="24" t="inlineStr"/>
      <c r="S121" s="24" t="inlineStr"/>
      <c r="T121" s="25" t="inlineStr"/>
    </row>
    <row r="122">
      <c r="A122" s="24" t="inlineStr"/>
      <c r="B122" s="24" t="inlineStr"/>
      <c r="C122" s="23" t="inlineStr"/>
      <c r="D122" s="29">
        <f>IFERROR(VLOOKUP($C122,'Test Cases'!$A:$H,8,FALSE),"")</f>
        <v/>
      </c>
      <c r="E122" s="29">
        <f>IFERROR(VLOOKUP($C122,'Test Cases'!$A:$G,7,FALSE),"")</f>
        <v/>
      </c>
      <c r="F122" s="30">
        <f>IFERROR(VLOOKUP($C122,'Test Cases'!$A:$I,9,FALSE),"")</f>
        <v/>
      </c>
      <c r="G122" s="29">
        <f>IFERROR(VLOOKUP($C122,'Test Cases'!$A:$K,11,FALSE),"")</f>
        <v/>
      </c>
      <c r="H122" s="24" t="inlineStr"/>
      <c r="I122" s="24" t="inlineStr">
        <is>
          <t>Open</t>
        </is>
      </c>
      <c r="J122" s="24" t="inlineStr"/>
      <c r="K122" s="25" t="inlineStr"/>
      <c r="L122" s="25" t="inlineStr"/>
      <c r="M122" s="25" t="inlineStr"/>
      <c r="N122" s="25" t="inlineStr"/>
      <c r="O122" s="24" t="inlineStr"/>
      <c r="P122" s="25" t="inlineStr"/>
      <c r="Q122" s="24" t="inlineStr"/>
      <c r="R122" s="24" t="inlineStr"/>
      <c r="S122" s="24" t="inlineStr"/>
      <c r="T122" s="25" t="inlineStr"/>
    </row>
    <row r="123">
      <c r="A123" s="24" t="inlineStr"/>
      <c r="B123" s="24" t="inlineStr"/>
      <c r="C123" s="23" t="inlineStr"/>
      <c r="D123" s="29">
        <f>IFERROR(VLOOKUP($C123,'Test Cases'!$A:$H,8,FALSE),"")</f>
        <v/>
      </c>
      <c r="E123" s="29">
        <f>IFERROR(VLOOKUP($C123,'Test Cases'!$A:$G,7,FALSE),"")</f>
        <v/>
      </c>
      <c r="F123" s="30">
        <f>IFERROR(VLOOKUP($C123,'Test Cases'!$A:$I,9,FALSE),"")</f>
        <v/>
      </c>
      <c r="G123" s="29">
        <f>IFERROR(VLOOKUP($C123,'Test Cases'!$A:$K,11,FALSE),"")</f>
        <v/>
      </c>
      <c r="H123" s="24" t="inlineStr"/>
      <c r="I123" s="24" t="inlineStr">
        <is>
          <t>Open</t>
        </is>
      </c>
      <c r="J123" s="24" t="inlineStr"/>
      <c r="K123" s="25" t="inlineStr"/>
      <c r="L123" s="25" t="inlineStr"/>
      <c r="M123" s="25" t="inlineStr"/>
      <c r="N123" s="25" t="inlineStr"/>
      <c r="O123" s="24" t="inlineStr"/>
      <c r="P123" s="25" t="inlineStr"/>
      <c r="Q123" s="24" t="inlineStr"/>
      <c r="R123" s="24" t="inlineStr"/>
      <c r="S123" s="24" t="inlineStr"/>
      <c r="T123" s="25" t="inlineStr"/>
    </row>
    <row r="124">
      <c r="A124" s="24" t="inlineStr"/>
      <c r="B124" s="24" t="inlineStr"/>
      <c r="C124" s="23" t="inlineStr"/>
      <c r="D124" s="29">
        <f>IFERROR(VLOOKUP($C124,'Test Cases'!$A:$H,8,FALSE),"")</f>
        <v/>
      </c>
      <c r="E124" s="29">
        <f>IFERROR(VLOOKUP($C124,'Test Cases'!$A:$G,7,FALSE),"")</f>
        <v/>
      </c>
      <c r="F124" s="30">
        <f>IFERROR(VLOOKUP($C124,'Test Cases'!$A:$I,9,FALSE),"")</f>
        <v/>
      </c>
      <c r="G124" s="29">
        <f>IFERROR(VLOOKUP($C124,'Test Cases'!$A:$K,11,FALSE),"")</f>
        <v/>
      </c>
      <c r="H124" s="24" t="inlineStr"/>
      <c r="I124" s="24" t="inlineStr">
        <is>
          <t>Open</t>
        </is>
      </c>
      <c r="J124" s="24" t="inlineStr"/>
      <c r="K124" s="25" t="inlineStr"/>
      <c r="L124" s="25" t="inlineStr"/>
      <c r="M124" s="25" t="inlineStr"/>
      <c r="N124" s="25" t="inlineStr"/>
      <c r="O124" s="24" t="inlineStr"/>
      <c r="P124" s="25" t="inlineStr"/>
      <c r="Q124" s="24" t="inlineStr"/>
      <c r="R124" s="24" t="inlineStr"/>
      <c r="S124" s="24" t="inlineStr"/>
      <c r="T124" s="25" t="inlineStr"/>
    </row>
    <row r="125">
      <c r="A125" s="24" t="inlineStr"/>
      <c r="B125" s="24" t="inlineStr"/>
      <c r="C125" s="23" t="inlineStr"/>
      <c r="D125" s="29">
        <f>IFERROR(VLOOKUP($C125,'Test Cases'!$A:$H,8,FALSE),"")</f>
        <v/>
      </c>
      <c r="E125" s="29">
        <f>IFERROR(VLOOKUP($C125,'Test Cases'!$A:$G,7,FALSE),"")</f>
        <v/>
      </c>
      <c r="F125" s="30">
        <f>IFERROR(VLOOKUP($C125,'Test Cases'!$A:$I,9,FALSE),"")</f>
        <v/>
      </c>
      <c r="G125" s="29">
        <f>IFERROR(VLOOKUP($C125,'Test Cases'!$A:$K,11,FALSE),"")</f>
        <v/>
      </c>
      <c r="H125" s="24" t="inlineStr"/>
      <c r="I125" s="24" t="inlineStr">
        <is>
          <t>Open</t>
        </is>
      </c>
      <c r="J125" s="24" t="inlineStr"/>
      <c r="K125" s="25" t="inlineStr"/>
      <c r="L125" s="25" t="inlineStr"/>
      <c r="M125" s="25" t="inlineStr"/>
      <c r="N125" s="25" t="inlineStr"/>
      <c r="O125" s="24" t="inlineStr"/>
      <c r="P125" s="25" t="inlineStr"/>
      <c r="Q125" s="24" t="inlineStr"/>
      <c r="R125" s="24" t="inlineStr"/>
      <c r="S125" s="24" t="inlineStr"/>
      <c r="T125" s="25" t="inlineStr"/>
    </row>
    <row r="126">
      <c r="A126" s="24" t="inlineStr"/>
      <c r="B126" s="24" t="inlineStr"/>
      <c r="C126" s="23" t="inlineStr"/>
      <c r="D126" s="29">
        <f>IFERROR(VLOOKUP($C126,'Test Cases'!$A:$H,8,FALSE),"")</f>
        <v/>
      </c>
      <c r="E126" s="29">
        <f>IFERROR(VLOOKUP($C126,'Test Cases'!$A:$G,7,FALSE),"")</f>
        <v/>
      </c>
      <c r="F126" s="30">
        <f>IFERROR(VLOOKUP($C126,'Test Cases'!$A:$I,9,FALSE),"")</f>
        <v/>
      </c>
      <c r="G126" s="29">
        <f>IFERROR(VLOOKUP($C126,'Test Cases'!$A:$K,11,FALSE),"")</f>
        <v/>
      </c>
      <c r="H126" s="24" t="inlineStr"/>
      <c r="I126" s="24" t="inlineStr">
        <is>
          <t>Open</t>
        </is>
      </c>
      <c r="J126" s="24" t="inlineStr"/>
      <c r="K126" s="25" t="inlineStr"/>
      <c r="L126" s="25" t="inlineStr"/>
      <c r="M126" s="25" t="inlineStr"/>
      <c r="N126" s="25" t="inlineStr"/>
      <c r="O126" s="24" t="inlineStr"/>
      <c r="P126" s="25" t="inlineStr"/>
      <c r="Q126" s="24" t="inlineStr"/>
      <c r="R126" s="24" t="inlineStr"/>
      <c r="S126" s="24" t="inlineStr"/>
      <c r="T126" s="25" t="inlineStr"/>
    </row>
    <row r="127">
      <c r="A127" s="24" t="inlineStr"/>
      <c r="B127" s="24" t="inlineStr"/>
      <c r="C127" s="23" t="inlineStr"/>
      <c r="D127" s="29">
        <f>IFERROR(VLOOKUP($C127,'Test Cases'!$A:$H,8,FALSE),"")</f>
        <v/>
      </c>
      <c r="E127" s="29">
        <f>IFERROR(VLOOKUP($C127,'Test Cases'!$A:$G,7,FALSE),"")</f>
        <v/>
      </c>
      <c r="F127" s="30">
        <f>IFERROR(VLOOKUP($C127,'Test Cases'!$A:$I,9,FALSE),"")</f>
        <v/>
      </c>
      <c r="G127" s="29">
        <f>IFERROR(VLOOKUP($C127,'Test Cases'!$A:$K,11,FALSE),"")</f>
        <v/>
      </c>
      <c r="H127" s="24" t="inlineStr"/>
      <c r="I127" s="24" t="inlineStr">
        <is>
          <t>Open</t>
        </is>
      </c>
      <c r="J127" s="24" t="inlineStr"/>
      <c r="K127" s="25" t="inlineStr"/>
      <c r="L127" s="25" t="inlineStr"/>
      <c r="M127" s="25" t="inlineStr"/>
      <c r="N127" s="25" t="inlineStr"/>
      <c r="O127" s="24" t="inlineStr"/>
      <c r="P127" s="25" t="inlineStr"/>
      <c r="Q127" s="24" t="inlineStr"/>
      <c r="R127" s="24" t="inlineStr"/>
      <c r="S127" s="24" t="inlineStr"/>
      <c r="T127" s="25" t="inlineStr"/>
    </row>
    <row r="128">
      <c r="A128" s="24" t="inlineStr"/>
      <c r="B128" s="24" t="inlineStr"/>
      <c r="C128" s="23" t="inlineStr"/>
      <c r="D128" s="29">
        <f>IFERROR(VLOOKUP($C128,'Test Cases'!$A:$H,8,FALSE),"")</f>
        <v/>
      </c>
      <c r="E128" s="29">
        <f>IFERROR(VLOOKUP($C128,'Test Cases'!$A:$G,7,FALSE),"")</f>
        <v/>
      </c>
      <c r="F128" s="30">
        <f>IFERROR(VLOOKUP($C128,'Test Cases'!$A:$I,9,FALSE),"")</f>
        <v/>
      </c>
      <c r="G128" s="29">
        <f>IFERROR(VLOOKUP($C128,'Test Cases'!$A:$K,11,FALSE),"")</f>
        <v/>
      </c>
      <c r="H128" s="24" t="inlineStr"/>
      <c r="I128" s="24" t="inlineStr">
        <is>
          <t>Open</t>
        </is>
      </c>
      <c r="J128" s="24" t="inlineStr"/>
      <c r="K128" s="25" t="inlineStr"/>
      <c r="L128" s="25" t="inlineStr"/>
      <c r="M128" s="25" t="inlineStr"/>
      <c r="N128" s="25" t="inlineStr"/>
      <c r="O128" s="24" t="inlineStr"/>
      <c r="P128" s="25" t="inlineStr"/>
      <c r="Q128" s="24" t="inlineStr"/>
      <c r="R128" s="24" t="inlineStr"/>
      <c r="S128" s="24" t="inlineStr"/>
      <c r="T128" s="25" t="inlineStr"/>
    </row>
    <row r="129">
      <c r="A129" s="24" t="inlineStr"/>
      <c r="B129" s="24" t="inlineStr"/>
      <c r="C129" s="23" t="inlineStr"/>
      <c r="D129" s="29">
        <f>IFERROR(VLOOKUP($C129,'Test Cases'!$A:$H,8,FALSE),"")</f>
        <v/>
      </c>
      <c r="E129" s="29">
        <f>IFERROR(VLOOKUP($C129,'Test Cases'!$A:$G,7,FALSE),"")</f>
        <v/>
      </c>
      <c r="F129" s="30">
        <f>IFERROR(VLOOKUP($C129,'Test Cases'!$A:$I,9,FALSE),"")</f>
        <v/>
      </c>
      <c r="G129" s="29">
        <f>IFERROR(VLOOKUP($C129,'Test Cases'!$A:$K,11,FALSE),"")</f>
        <v/>
      </c>
      <c r="H129" s="24" t="inlineStr"/>
      <c r="I129" s="24" t="inlineStr">
        <is>
          <t>Open</t>
        </is>
      </c>
      <c r="J129" s="24" t="inlineStr"/>
      <c r="K129" s="25" t="inlineStr"/>
      <c r="L129" s="25" t="inlineStr"/>
      <c r="M129" s="25" t="inlineStr"/>
      <c r="N129" s="25" t="inlineStr"/>
      <c r="O129" s="24" t="inlineStr"/>
      <c r="P129" s="25" t="inlineStr"/>
      <c r="Q129" s="24" t="inlineStr"/>
      <c r="R129" s="24" t="inlineStr"/>
      <c r="S129" s="24" t="inlineStr"/>
      <c r="T129" s="25" t="inlineStr"/>
    </row>
    <row r="130">
      <c r="A130" s="24" t="inlineStr"/>
      <c r="B130" s="24" t="inlineStr"/>
      <c r="C130" s="23" t="inlineStr"/>
      <c r="D130" s="29">
        <f>IFERROR(VLOOKUP($C130,'Test Cases'!$A:$H,8,FALSE),"")</f>
        <v/>
      </c>
      <c r="E130" s="29">
        <f>IFERROR(VLOOKUP($C130,'Test Cases'!$A:$G,7,FALSE),"")</f>
        <v/>
      </c>
      <c r="F130" s="30">
        <f>IFERROR(VLOOKUP($C130,'Test Cases'!$A:$I,9,FALSE),"")</f>
        <v/>
      </c>
      <c r="G130" s="29">
        <f>IFERROR(VLOOKUP($C130,'Test Cases'!$A:$K,11,FALSE),"")</f>
        <v/>
      </c>
      <c r="H130" s="24" t="inlineStr"/>
      <c r="I130" s="24" t="inlineStr">
        <is>
          <t>Open</t>
        </is>
      </c>
      <c r="J130" s="24" t="inlineStr"/>
      <c r="K130" s="25" t="inlineStr"/>
      <c r="L130" s="25" t="inlineStr"/>
      <c r="M130" s="25" t="inlineStr"/>
      <c r="N130" s="25" t="inlineStr"/>
      <c r="O130" s="24" t="inlineStr"/>
      <c r="P130" s="25" t="inlineStr"/>
      <c r="Q130" s="24" t="inlineStr"/>
      <c r="R130" s="24" t="inlineStr"/>
      <c r="S130" s="24" t="inlineStr"/>
      <c r="T130" s="25" t="inlineStr"/>
    </row>
    <row r="131">
      <c r="A131" s="24" t="inlineStr"/>
      <c r="B131" s="24" t="inlineStr"/>
      <c r="C131" s="23" t="inlineStr"/>
      <c r="D131" s="29">
        <f>IFERROR(VLOOKUP($C131,'Test Cases'!$A:$H,8,FALSE),"")</f>
        <v/>
      </c>
      <c r="E131" s="29">
        <f>IFERROR(VLOOKUP($C131,'Test Cases'!$A:$G,7,FALSE),"")</f>
        <v/>
      </c>
      <c r="F131" s="30">
        <f>IFERROR(VLOOKUP($C131,'Test Cases'!$A:$I,9,FALSE),"")</f>
        <v/>
      </c>
      <c r="G131" s="29">
        <f>IFERROR(VLOOKUP($C131,'Test Cases'!$A:$K,11,FALSE),"")</f>
        <v/>
      </c>
      <c r="H131" s="24" t="inlineStr"/>
      <c r="I131" s="24" t="inlineStr">
        <is>
          <t>Open</t>
        </is>
      </c>
      <c r="J131" s="24" t="inlineStr"/>
      <c r="K131" s="25" t="inlineStr"/>
      <c r="L131" s="25" t="inlineStr"/>
      <c r="M131" s="25" t="inlineStr"/>
      <c r="N131" s="25" t="inlineStr"/>
      <c r="O131" s="24" t="inlineStr"/>
      <c r="P131" s="25" t="inlineStr"/>
      <c r="Q131" s="24" t="inlineStr"/>
      <c r="R131" s="24" t="inlineStr"/>
      <c r="S131" s="24" t="inlineStr"/>
      <c r="T131" s="25" t="inlineStr"/>
    </row>
    <row r="132">
      <c r="A132" s="24" t="inlineStr"/>
      <c r="B132" s="24" t="inlineStr"/>
      <c r="C132" s="23" t="inlineStr"/>
      <c r="D132" s="29">
        <f>IFERROR(VLOOKUP($C132,'Test Cases'!$A:$H,8,FALSE),"")</f>
        <v/>
      </c>
      <c r="E132" s="29">
        <f>IFERROR(VLOOKUP($C132,'Test Cases'!$A:$G,7,FALSE),"")</f>
        <v/>
      </c>
      <c r="F132" s="30">
        <f>IFERROR(VLOOKUP($C132,'Test Cases'!$A:$I,9,FALSE),"")</f>
        <v/>
      </c>
      <c r="G132" s="29">
        <f>IFERROR(VLOOKUP($C132,'Test Cases'!$A:$K,11,FALSE),"")</f>
        <v/>
      </c>
      <c r="H132" s="24" t="inlineStr"/>
      <c r="I132" s="24" t="inlineStr">
        <is>
          <t>Open</t>
        </is>
      </c>
      <c r="J132" s="24" t="inlineStr"/>
      <c r="K132" s="25" t="inlineStr"/>
      <c r="L132" s="25" t="inlineStr"/>
      <c r="M132" s="25" t="inlineStr"/>
      <c r="N132" s="25" t="inlineStr"/>
      <c r="O132" s="24" t="inlineStr"/>
      <c r="P132" s="25" t="inlineStr"/>
      <c r="Q132" s="24" t="inlineStr"/>
      <c r="R132" s="24" t="inlineStr"/>
      <c r="S132" s="24" t="inlineStr"/>
      <c r="T132" s="25" t="inlineStr"/>
    </row>
    <row r="133">
      <c r="A133" s="24" t="inlineStr"/>
      <c r="B133" s="24" t="inlineStr"/>
      <c r="C133" s="23" t="inlineStr"/>
      <c r="D133" s="29">
        <f>IFERROR(VLOOKUP($C133,'Test Cases'!$A:$H,8,FALSE),"")</f>
        <v/>
      </c>
      <c r="E133" s="29">
        <f>IFERROR(VLOOKUP($C133,'Test Cases'!$A:$G,7,FALSE),"")</f>
        <v/>
      </c>
      <c r="F133" s="30">
        <f>IFERROR(VLOOKUP($C133,'Test Cases'!$A:$I,9,FALSE),"")</f>
        <v/>
      </c>
      <c r="G133" s="29">
        <f>IFERROR(VLOOKUP($C133,'Test Cases'!$A:$K,11,FALSE),"")</f>
        <v/>
      </c>
      <c r="H133" s="24" t="inlineStr"/>
      <c r="I133" s="24" t="inlineStr">
        <is>
          <t>Open</t>
        </is>
      </c>
      <c r="J133" s="24" t="inlineStr"/>
      <c r="K133" s="25" t="inlineStr"/>
      <c r="L133" s="25" t="inlineStr"/>
      <c r="M133" s="25" t="inlineStr"/>
      <c r="N133" s="25" t="inlineStr"/>
      <c r="O133" s="24" t="inlineStr"/>
      <c r="P133" s="25" t="inlineStr"/>
      <c r="Q133" s="24" t="inlineStr"/>
      <c r="R133" s="24" t="inlineStr"/>
      <c r="S133" s="24" t="inlineStr"/>
      <c r="T133" s="25" t="inlineStr"/>
    </row>
    <row r="134">
      <c r="A134" s="24" t="inlineStr"/>
      <c r="B134" s="24" t="inlineStr"/>
      <c r="C134" s="23" t="inlineStr"/>
      <c r="D134" s="29">
        <f>IFERROR(VLOOKUP($C134,'Test Cases'!$A:$H,8,FALSE),"")</f>
        <v/>
      </c>
      <c r="E134" s="29">
        <f>IFERROR(VLOOKUP($C134,'Test Cases'!$A:$G,7,FALSE),"")</f>
        <v/>
      </c>
      <c r="F134" s="30">
        <f>IFERROR(VLOOKUP($C134,'Test Cases'!$A:$I,9,FALSE),"")</f>
        <v/>
      </c>
      <c r="G134" s="29">
        <f>IFERROR(VLOOKUP($C134,'Test Cases'!$A:$K,11,FALSE),"")</f>
        <v/>
      </c>
      <c r="H134" s="24" t="inlineStr"/>
      <c r="I134" s="24" t="inlineStr">
        <is>
          <t>Open</t>
        </is>
      </c>
      <c r="J134" s="24" t="inlineStr"/>
      <c r="K134" s="25" t="inlineStr"/>
      <c r="L134" s="25" t="inlineStr"/>
      <c r="M134" s="25" t="inlineStr"/>
      <c r="N134" s="25" t="inlineStr"/>
      <c r="O134" s="24" t="inlineStr"/>
      <c r="P134" s="25" t="inlineStr"/>
      <c r="Q134" s="24" t="inlineStr"/>
      <c r="R134" s="24" t="inlineStr"/>
      <c r="S134" s="24" t="inlineStr"/>
      <c r="T134" s="25" t="inlineStr"/>
    </row>
    <row r="135">
      <c r="A135" s="24" t="inlineStr"/>
      <c r="B135" s="24" t="inlineStr"/>
      <c r="C135" s="23" t="inlineStr"/>
      <c r="D135" s="29">
        <f>IFERROR(VLOOKUP($C135,'Test Cases'!$A:$H,8,FALSE),"")</f>
        <v/>
      </c>
      <c r="E135" s="29">
        <f>IFERROR(VLOOKUP($C135,'Test Cases'!$A:$G,7,FALSE),"")</f>
        <v/>
      </c>
      <c r="F135" s="30">
        <f>IFERROR(VLOOKUP($C135,'Test Cases'!$A:$I,9,FALSE),"")</f>
        <v/>
      </c>
      <c r="G135" s="29">
        <f>IFERROR(VLOOKUP($C135,'Test Cases'!$A:$K,11,FALSE),"")</f>
        <v/>
      </c>
      <c r="H135" s="24" t="inlineStr"/>
      <c r="I135" s="24" t="inlineStr">
        <is>
          <t>Open</t>
        </is>
      </c>
      <c r="J135" s="24" t="inlineStr"/>
      <c r="K135" s="25" t="inlineStr"/>
      <c r="L135" s="25" t="inlineStr"/>
      <c r="M135" s="25" t="inlineStr"/>
      <c r="N135" s="25" t="inlineStr"/>
      <c r="O135" s="24" t="inlineStr"/>
      <c r="P135" s="25" t="inlineStr"/>
      <c r="Q135" s="24" t="inlineStr"/>
      <c r="R135" s="24" t="inlineStr"/>
      <c r="S135" s="24" t="inlineStr"/>
      <c r="T135" s="25" t="inlineStr"/>
    </row>
    <row r="136">
      <c r="A136" s="24" t="inlineStr"/>
      <c r="B136" s="24" t="inlineStr"/>
      <c r="C136" s="23" t="inlineStr"/>
      <c r="D136" s="29">
        <f>IFERROR(VLOOKUP($C136,'Test Cases'!$A:$H,8,FALSE),"")</f>
        <v/>
      </c>
      <c r="E136" s="29">
        <f>IFERROR(VLOOKUP($C136,'Test Cases'!$A:$G,7,FALSE),"")</f>
        <v/>
      </c>
      <c r="F136" s="30">
        <f>IFERROR(VLOOKUP($C136,'Test Cases'!$A:$I,9,FALSE),"")</f>
        <v/>
      </c>
      <c r="G136" s="29">
        <f>IFERROR(VLOOKUP($C136,'Test Cases'!$A:$K,11,FALSE),"")</f>
        <v/>
      </c>
      <c r="H136" s="24" t="inlineStr"/>
      <c r="I136" s="24" t="inlineStr">
        <is>
          <t>Open</t>
        </is>
      </c>
      <c r="J136" s="24" t="inlineStr"/>
      <c r="K136" s="25" t="inlineStr"/>
      <c r="L136" s="25" t="inlineStr"/>
      <c r="M136" s="25" t="inlineStr"/>
      <c r="N136" s="25" t="inlineStr"/>
      <c r="O136" s="24" t="inlineStr"/>
      <c r="P136" s="25" t="inlineStr"/>
      <c r="Q136" s="24" t="inlineStr"/>
      <c r="R136" s="24" t="inlineStr"/>
      <c r="S136" s="24" t="inlineStr"/>
      <c r="T136" s="25" t="inlineStr"/>
    </row>
    <row r="137">
      <c r="A137" s="24" t="inlineStr"/>
      <c r="B137" s="24" t="inlineStr"/>
      <c r="C137" s="23" t="inlineStr"/>
      <c r="D137" s="29">
        <f>IFERROR(VLOOKUP($C137,'Test Cases'!$A:$H,8,FALSE),"")</f>
        <v/>
      </c>
      <c r="E137" s="29">
        <f>IFERROR(VLOOKUP($C137,'Test Cases'!$A:$G,7,FALSE),"")</f>
        <v/>
      </c>
      <c r="F137" s="30">
        <f>IFERROR(VLOOKUP($C137,'Test Cases'!$A:$I,9,FALSE),"")</f>
        <v/>
      </c>
      <c r="G137" s="29">
        <f>IFERROR(VLOOKUP($C137,'Test Cases'!$A:$K,11,FALSE),"")</f>
        <v/>
      </c>
      <c r="H137" s="24" t="inlineStr"/>
      <c r="I137" s="24" t="inlineStr">
        <is>
          <t>Open</t>
        </is>
      </c>
      <c r="J137" s="24" t="inlineStr"/>
      <c r="K137" s="25" t="inlineStr"/>
      <c r="L137" s="25" t="inlineStr"/>
      <c r="M137" s="25" t="inlineStr"/>
      <c r="N137" s="25" t="inlineStr"/>
      <c r="O137" s="24" t="inlineStr"/>
      <c r="P137" s="25" t="inlineStr"/>
      <c r="Q137" s="24" t="inlineStr"/>
      <c r="R137" s="24" t="inlineStr"/>
      <c r="S137" s="24" t="inlineStr"/>
      <c r="T137" s="25" t="inlineStr"/>
    </row>
    <row r="138">
      <c r="A138" s="24" t="inlineStr"/>
      <c r="B138" s="24" t="inlineStr"/>
      <c r="C138" s="23" t="inlineStr"/>
      <c r="D138" s="29">
        <f>IFERROR(VLOOKUP($C138,'Test Cases'!$A:$H,8,FALSE),"")</f>
        <v/>
      </c>
      <c r="E138" s="29">
        <f>IFERROR(VLOOKUP($C138,'Test Cases'!$A:$G,7,FALSE),"")</f>
        <v/>
      </c>
      <c r="F138" s="30">
        <f>IFERROR(VLOOKUP($C138,'Test Cases'!$A:$I,9,FALSE),"")</f>
        <v/>
      </c>
      <c r="G138" s="29">
        <f>IFERROR(VLOOKUP($C138,'Test Cases'!$A:$K,11,FALSE),"")</f>
        <v/>
      </c>
      <c r="H138" s="24" t="inlineStr"/>
      <c r="I138" s="24" t="inlineStr">
        <is>
          <t>Open</t>
        </is>
      </c>
      <c r="J138" s="24" t="inlineStr"/>
      <c r="K138" s="25" t="inlineStr"/>
      <c r="L138" s="25" t="inlineStr"/>
      <c r="M138" s="25" t="inlineStr"/>
      <c r="N138" s="25" t="inlineStr"/>
      <c r="O138" s="24" t="inlineStr"/>
      <c r="P138" s="25" t="inlineStr"/>
      <c r="Q138" s="24" t="inlineStr"/>
      <c r="R138" s="24" t="inlineStr"/>
      <c r="S138" s="24" t="inlineStr"/>
      <c r="T138" s="25" t="inlineStr"/>
    </row>
    <row r="139">
      <c r="A139" s="24" t="inlineStr"/>
      <c r="B139" s="24" t="inlineStr"/>
      <c r="C139" s="23" t="inlineStr"/>
      <c r="D139" s="29">
        <f>IFERROR(VLOOKUP($C139,'Test Cases'!$A:$H,8,FALSE),"")</f>
        <v/>
      </c>
      <c r="E139" s="29">
        <f>IFERROR(VLOOKUP($C139,'Test Cases'!$A:$G,7,FALSE),"")</f>
        <v/>
      </c>
      <c r="F139" s="30">
        <f>IFERROR(VLOOKUP($C139,'Test Cases'!$A:$I,9,FALSE),"")</f>
        <v/>
      </c>
      <c r="G139" s="29">
        <f>IFERROR(VLOOKUP($C139,'Test Cases'!$A:$K,11,FALSE),"")</f>
        <v/>
      </c>
      <c r="H139" s="24" t="inlineStr"/>
      <c r="I139" s="24" t="inlineStr">
        <is>
          <t>Open</t>
        </is>
      </c>
      <c r="J139" s="24" t="inlineStr"/>
      <c r="K139" s="25" t="inlineStr"/>
      <c r="L139" s="25" t="inlineStr"/>
      <c r="M139" s="25" t="inlineStr"/>
      <c r="N139" s="25" t="inlineStr"/>
      <c r="O139" s="24" t="inlineStr"/>
      <c r="P139" s="25" t="inlineStr"/>
      <c r="Q139" s="24" t="inlineStr"/>
      <c r="R139" s="24" t="inlineStr"/>
      <c r="S139" s="24" t="inlineStr"/>
      <c r="T139" s="25" t="inlineStr"/>
    </row>
    <row r="140">
      <c r="A140" s="24" t="inlineStr"/>
      <c r="B140" s="24" t="inlineStr"/>
      <c r="C140" s="23" t="inlineStr"/>
      <c r="D140" s="29">
        <f>IFERROR(VLOOKUP($C140,'Test Cases'!$A:$H,8,FALSE),"")</f>
        <v/>
      </c>
      <c r="E140" s="29">
        <f>IFERROR(VLOOKUP($C140,'Test Cases'!$A:$G,7,FALSE),"")</f>
        <v/>
      </c>
      <c r="F140" s="30">
        <f>IFERROR(VLOOKUP($C140,'Test Cases'!$A:$I,9,FALSE),"")</f>
        <v/>
      </c>
      <c r="G140" s="29">
        <f>IFERROR(VLOOKUP($C140,'Test Cases'!$A:$K,11,FALSE),"")</f>
        <v/>
      </c>
      <c r="H140" s="24" t="inlineStr"/>
      <c r="I140" s="24" t="inlineStr">
        <is>
          <t>Open</t>
        </is>
      </c>
      <c r="J140" s="24" t="inlineStr"/>
      <c r="K140" s="25" t="inlineStr"/>
      <c r="L140" s="25" t="inlineStr"/>
      <c r="M140" s="25" t="inlineStr"/>
      <c r="N140" s="25" t="inlineStr"/>
      <c r="O140" s="24" t="inlineStr"/>
      <c r="P140" s="25" t="inlineStr"/>
      <c r="Q140" s="24" t="inlineStr"/>
      <c r="R140" s="24" t="inlineStr"/>
      <c r="S140" s="24" t="inlineStr"/>
      <c r="T140" s="25" t="inlineStr"/>
    </row>
    <row r="141">
      <c r="A141" s="24" t="inlineStr"/>
      <c r="B141" s="24" t="inlineStr"/>
      <c r="C141" s="23" t="inlineStr"/>
      <c r="D141" s="29">
        <f>IFERROR(VLOOKUP($C141,'Test Cases'!$A:$H,8,FALSE),"")</f>
        <v/>
      </c>
      <c r="E141" s="29">
        <f>IFERROR(VLOOKUP($C141,'Test Cases'!$A:$G,7,FALSE),"")</f>
        <v/>
      </c>
      <c r="F141" s="30">
        <f>IFERROR(VLOOKUP($C141,'Test Cases'!$A:$I,9,FALSE),"")</f>
        <v/>
      </c>
      <c r="G141" s="29">
        <f>IFERROR(VLOOKUP($C141,'Test Cases'!$A:$K,11,FALSE),"")</f>
        <v/>
      </c>
      <c r="H141" s="24" t="inlineStr"/>
      <c r="I141" s="24" t="inlineStr">
        <is>
          <t>Open</t>
        </is>
      </c>
      <c r="J141" s="24" t="inlineStr"/>
      <c r="K141" s="25" t="inlineStr"/>
      <c r="L141" s="25" t="inlineStr"/>
      <c r="M141" s="25" t="inlineStr"/>
      <c r="N141" s="25" t="inlineStr"/>
      <c r="O141" s="24" t="inlineStr"/>
      <c r="P141" s="25" t="inlineStr"/>
      <c r="Q141" s="24" t="inlineStr"/>
      <c r="R141" s="24" t="inlineStr"/>
      <c r="S141" s="24" t="inlineStr"/>
      <c r="T141" s="25" t="inlineStr"/>
    </row>
    <row r="142">
      <c r="A142" s="24" t="inlineStr"/>
      <c r="B142" s="24" t="inlineStr"/>
      <c r="C142" s="23" t="inlineStr"/>
      <c r="D142" s="29">
        <f>IFERROR(VLOOKUP($C142,'Test Cases'!$A:$H,8,FALSE),"")</f>
        <v/>
      </c>
      <c r="E142" s="29">
        <f>IFERROR(VLOOKUP($C142,'Test Cases'!$A:$G,7,FALSE),"")</f>
        <v/>
      </c>
      <c r="F142" s="30">
        <f>IFERROR(VLOOKUP($C142,'Test Cases'!$A:$I,9,FALSE),"")</f>
        <v/>
      </c>
      <c r="G142" s="29">
        <f>IFERROR(VLOOKUP($C142,'Test Cases'!$A:$K,11,FALSE),"")</f>
        <v/>
      </c>
      <c r="H142" s="24" t="inlineStr"/>
      <c r="I142" s="24" t="inlineStr">
        <is>
          <t>Open</t>
        </is>
      </c>
      <c r="J142" s="24" t="inlineStr"/>
      <c r="K142" s="25" t="inlineStr"/>
      <c r="L142" s="25" t="inlineStr"/>
      <c r="M142" s="25" t="inlineStr"/>
      <c r="N142" s="25" t="inlineStr"/>
      <c r="O142" s="24" t="inlineStr"/>
      <c r="P142" s="25" t="inlineStr"/>
      <c r="Q142" s="24" t="inlineStr"/>
      <c r="R142" s="24" t="inlineStr"/>
      <c r="S142" s="24" t="inlineStr"/>
      <c r="T142" s="25" t="inlineStr"/>
    </row>
    <row r="143">
      <c r="A143" s="24" t="inlineStr"/>
      <c r="B143" s="24" t="inlineStr"/>
      <c r="C143" s="23" t="inlineStr"/>
      <c r="D143" s="29">
        <f>IFERROR(VLOOKUP($C143,'Test Cases'!$A:$H,8,FALSE),"")</f>
        <v/>
      </c>
      <c r="E143" s="29">
        <f>IFERROR(VLOOKUP($C143,'Test Cases'!$A:$G,7,FALSE),"")</f>
        <v/>
      </c>
      <c r="F143" s="30">
        <f>IFERROR(VLOOKUP($C143,'Test Cases'!$A:$I,9,FALSE),"")</f>
        <v/>
      </c>
      <c r="G143" s="29">
        <f>IFERROR(VLOOKUP($C143,'Test Cases'!$A:$K,11,FALSE),"")</f>
        <v/>
      </c>
      <c r="H143" s="24" t="inlineStr"/>
      <c r="I143" s="24" t="inlineStr">
        <is>
          <t>Open</t>
        </is>
      </c>
      <c r="J143" s="24" t="inlineStr"/>
      <c r="K143" s="25" t="inlineStr"/>
      <c r="L143" s="25" t="inlineStr"/>
      <c r="M143" s="25" t="inlineStr"/>
      <c r="N143" s="25" t="inlineStr"/>
      <c r="O143" s="24" t="inlineStr"/>
      <c r="P143" s="25" t="inlineStr"/>
      <c r="Q143" s="24" t="inlineStr"/>
      <c r="R143" s="24" t="inlineStr"/>
      <c r="S143" s="24" t="inlineStr"/>
      <c r="T143" s="25" t="inlineStr"/>
    </row>
    <row r="144">
      <c r="A144" s="24" t="inlineStr"/>
      <c r="B144" s="24" t="inlineStr"/>
      <c r="C144" s="23" t="inlineStr"/>
      <c r="D144" s="29">
        <f>IFERROR(VLOOKUP($C144,'Test Cases'!$A:$H,8,FALSE),"")</f>
        <v/>
      </c>
      <c r="E144" s="29">
        <f>IFERROR(VLOOKUP($C144,'Test Cases'!$A:$G,7,FALSE),"")</f>
        <v/>
      </c>
      <c r="F144" s="30">
        <f>IFERROR(VLOOKUP($C144,'Test Cases'!$A:$I,9,FALSE),"")</f>
        <v/>
      </c>
      <c r="G144" s="29">
        <f>IFERROR(VLOOKUP($C144,'Test Cases'!$A:$K,11,FALSE),"")</f>
        <v/>
      </c>
      <c r="H144" s="24" t="inlineStr"/>
      <c r="I144" s="24" t="inlineStr">
        <is>
          <t>Open</t>
        </is>
      </c>
      <c r="J144" s="24" t="inlineStr"/>
      <c r="K144" s="25" t="inlineStr"/>
      <c r="L144" s="25" t="inlineStr"/>
      <c r="M144" s="25" t="inlineStr"/>
      <c r="N144" s="25" t="inlineStr"/>
      <c r="O144" s="24" t="inlineStr"/>
      <c r="P144" s="25" t="inlineStr"/>
      <c r="Q144" s="24" t="inlineStr"/>
      <c r="R144" s="24" t="inlineStr"/>
      <c r="S144" s="24" t="inlineStr"/>
      <c r="T144" s="25" t="inlineStr"/>
    </row>
    <row r="145">
      <c r="A145" s="24" t="inlineStr"/>
      <c r="B145" s="24" t="inlineStr"/>
      <c r="C145" s="23" t="inlineStr"/>
      <c r="D145" s="29">
        <f>IFERROR(VLOOKUP($C145,'Test Cases'!$A:$H,8,FALSE),"")</f>
        <v/>
      </c>
      <c r="E145" s="29">
        <f>IFERROR(VLOOKUP($C145,'Test Cases'!$A:$G,7,FALSE),"")</f>
        <v/>
      </c>
      <c r="F145" s="30">
        <f>IFERROR(VLOOKUP($C145,'Test Cases'!$A:$I,9,FALSE),"")</f>
        <v/>
      </c>
      <c r="G145" s="29">
        <f>IFERROR(VLOOKUP($C145,'Test Cases'!$A:$K,11,FALSE),"")</f>
        <v/>
      </c>
      <c r="H145" s="24" t="inlineStr"/>
      <c r="I145" s="24" t="inlineStr">
        <is>
          <t>Open</t>
        </is>
      </c>
      <c r="J145" s="24" t="inlineStr"/>
      <c r="K145" s="25" t="inlineStr"/>
      <c r="L145" s="25" t="inlineStr"/>
      <c r="M145" s="25" t="inlineStr"/>
      <c r="N145" s="25" t="inlineStr"/>
      <c r="O145" s="24" t="inlineStr"/>
      <c r="P145" s="25" t="inlineStr"/>
      <c r="Q145" s="24" t="inlineStr"/>
      <c r="R145" s="24" t="inlineStr"/>
      <c r="S145" s="24" t="inlineStr"/>
      <c r="T145" s="25" t="inlineStr"/>
    </row>
    <row r="146">
      <c r="A146" s="24" t="inlineStr"/>
      <c r="B146" s="24" t="inlineStr"/>
      <c r="C146" s="23" t="inlineStr"/>
      <c r="D146" s="29">
        <f>IFERROR(VLOOKUP($C146,'Test Cases'!$A:$H,8,FALSE),"")</f>
        <v/>
      </c>
      <c r="E146" s="29">
        <f>IFERROR(VLOOKUP($C146,'Test Cases'!$A:$G,7,FALSE),"")</f>
        <v/>
      </c>
      <c r="F146" s="30">
        <f>IFERROR(VLOOKUP($C146,'Test Cases'!$A:$I,9,FALSE),"")</f>
        <v/>
      </c>
      <c r="G146" s="29">
        <f>IFERROR(VLOOKUP($C146,'Test Cases'!$A:$K,11,FALSE),"")</f>
        <v/>
      </c>
      <c r="H146" s="24" t="inlineStr"/>
      <c r="I146" s="24" t="inlineStr">
        <is>
          <t>Open</t>
        </is>
      </c>
      <c r="J146" s="24" t="inlineStr"/>
      <c r="K146" s="25" t="inlineStr"/>
      <c r="L146" s="25" t="inlineStr"/>
      <c r="M146" s="25" t="inlineStr"/>
      <c r="N146" s="25" t="inlineStr"/>
      <c r="O146" s="24" t="inlineStr"/>
      <c r="P146" s="25" t="inlineStr"/>
      <c r="Q146" s="24" t="inlineStr"/>
      <c r="R146" s="24" t="inlineStr"/>
      <c r="S146" s="24" t="inlineStr"/>
      <c r="T146" s="25" t="inlineStr"/>
    </row>
    <row r="147">
      <c r="A147" s="24" t="inlineStr"/>
      <c r="B147" s="24" t="inlineStr"/>
      <c r="C147" s="23" t="inlineStr"/>
      <c r="D147" s="29">
        <f>IFERROR(VLOOKUP($C147,'Test Cases'!$A:$H,8,FALSE),"")</f>
        <v/>
      </c>
      <c r="E147" s="29">
        <f>IFERROR(VLOOKUP($C147,'Test Cases'!$A:$G,7,FALSE),"")</f>
        <v/>
      </c>
      <c r="F147" s="30">
        <f>IFERROR(VLOOKUP($C147,'Test Cases'!$A:$I,9,FALSE),"")</f>
        <v/>
      </c>
      <c r="G147" s="29">
        <f>IFERROR(VLOOKUP($C147,'Test Cases'!$A:$K,11,FALSE),"")</f>
        <v/>
      </c>
      <c r="H147" s="24" t="inlineStr"/>
      <c r="I147" s="24" t="inlineStr">
        <is>
          <t>Open</t>
        </is>
      </c>
      <c r="J147" s="24" t="inlineStr"/>
      <c r="K147" s="25" t="inlineStr"/>
      <c r="L147" s="25" t="inlineStr"/>
      <c r="M147" s="25" t="inlineStr"/>
      <c r="N147" s="25" t="inlineStr"/>
      <c r="O147" s="24" t="inlineStr"/>
      <c r="P147" s="25" t="inlineStr"/>
      <c r="Q147" s="24" t="inlineStr"/>
      <c r="R147" s="24" t="inlineStr"/>
      <c r="S147" s="24" t="inlineStr"/>
      <c r="T147" s="25" t="inlineStr"/>
    </row>
    <row r="148">
      <c r="A148" s="24" t="inlineStr"/>
      <c r="B148" s="24" t="inlineStr"/>
      <c r="C148" s="23" t="inlineStr"/>
      <c r="D148" s="29">
        <f>IFERROR(VLOOKUP($C148,'Test Cases'!$A:$H,8,FALSE),"")</f>
        <v/>
      </c>
      <c r="E148" s="29">
        <f>IFERROR(VLOOKUP($C148,'Test Cases'!$A:$G,7,FALSE),"")</f>
        <v/>
      </c>
      <c r="F148" s="30">
        <f>IFERROR(VLOOKUP($C148,'Test Cases'!$A:$I,9,FALSE),"")</f>
        <v/>
      </c>
      <c r="G148" s="29">
        <f>IFERROR(VLOOKUP($C148,'Test Cases'!$A:$K,11,FALSE),"")</f>
        <v/>
      </c>
      <c r="H148" s="24" t="inlineStr"/>
      <c r="I148" s="24" t="inlineStr">
        <is>
          <t>Open</t>
        </is>
      </c>
      <c r="J148" s="24" t="inlineStr"/>
      <c r="K148" s="25" t="inlineStr"/>
      <c r="L148" s="25" t="inlineStr"/>
      <c r="M148" s="25" t="inlineStr"/>
      <c r="N148" s="25" t="inlineStr"/>
      <c r="O148" s="24" t="inlineStr"/>
      <c r="P148" s="25" t="inlineStr"/>
      <c r="Q148" s="24" t="inlineStr"/>
      <c r="R148" s="24" t="inlineStr"/>
      <c r="S148" s="24" t="inlineStr"/>
      <c r="T148" s="25" t="inlineStr"/>
    </row>
    <row r="149">
      <c r="A149" s="24" t="inlineStr"/>
      <c r="B149" s="24" t="inlineStr"/>
      <c r="C149" s="23" t="inlineStr"/>
      <c r="D149" s="29">
        <f>IFERROR(VLOOKUP($C149,'Test Cases'!$A:$H,8,FALSE),"")</f>
        <v/>
      </c>
      <c r="E149" s="29">
        <f>IFERROR(VLOOKUP($C149,'Test Cases'!$A:$G,7,FALSE),"")</f>
        <v/>
      </c>
      <c r="F149" s="30">
        <f>IFERROR(VLOOKUP($C149,'Test Cases'!$A:$I,9,FALSE),"")</f>
        <v/>
      </c>
      <c r="G149" s="29">
        <f>IFERROR(VLOOKUP($C149,'Test Cases'!$A:$K,11,FALSE),"")</f>
        <v/>
      </c>
      <c r="H149" s="24" t="inlineStr"/>
      <c r="I149" s="24" t="inlineStr">
        <is>
          <t>Open</t>
        </is>
      </c>
      <c r="J149" s="24" t="inlineStr"/>
      <c r="K149" s="25" t="inlineStr"/>
      <c r="L149" s="25" t="inlineStr"/>
      <c r="M149" s="25" t="inlineStr"/>
      <c r="N149" s="25" t="inlineStr"/>
      <c r="O149" s="24" t="inlineStr"/>
      <c r="P149" s="25" t="inlineStr"/>
      <c r="Q149" s="24" t="inlineStr"/>
      <c r="R149" s="24" t="inlineStr"/>
      <c r="S149" s="24" t="inlineStr"/>
      <c r="T149" s="25" t="inlineStr"/>
    </row>
    <row r="150">
      <c r="A150" s="24" t="inlineStr"/>
      <c r="B150" s="24" t="inlineStr"/>
      <c r="C150" s="23" t="inlineStr"/>
      <c r="D150" s="29">
        <f>IFERROR(VLOOKUP($C150,'Test Cases'!$A:$H,8,FALSE),"")</f>
        <v/>
      </c>
      <c r="E150" s="29">
        <f>IFERROR(VLOOKUP($C150,'Test Cases'!$A:$G,7,FALSE),"")</f>
        <v/>
      </c>
      <c r="F150" s="30">
        <f>IFERROR(VLOOKUP($C150,'Test Cases'!$A:$I,9,FALSE),"")</f>
        <v/>
      </c>
      <c r="G150" s="29">
        <f>IFERROR(VLOOKUP($C150,'Test Cases'!$A:$K,11,FALSE),"")</f>
        <v/>
      </c>
      <c r="H150" s="24" t="inlineStr"/>
      <c r="I150" s="24" t="inlineStr">
        <is>
          <t>Open</t>
        </is>
      </c>
      <c r="J150" s="24" t="inlineStr"/>
      <c r="K150" s="25" t="inlineStr"/>
      <c r="L150" s="25" t="inlineStr"/>
      <c r="M150" s="25" t="inlineStr"/>
      <c r="N150" s="25" t="inlineStr"/>
      <c r="O150" s="24" t="inlineStr"/>
      <c r="P150" s="25" t="inlineStr"/>
      <c r="Q150" s="24" t="inlineStr"/>
      <c r="R150" s="24" t="inlineStr"/>
      <c r="S150" s="24" t="inlineStr"/>
      <c r="T150" s="25" t="inlineStr"/>
    </row>
    <row r="151">
      <c r="A151" s="24" t="inlineStr"/>
      <c r="B151" s="24" t="inlineStr"/>
      <c r="C151" s="23" t="inlineStr"/>
      <c r="D151" s="29">
        <f>IFERROR(VLOOKUP($C151,'Test Cases'!$A:$H,8,FALSE),"")</f>
        <v/>
      </c>
      <c r="E151" s="29">
        <f>IFERROR(VLOOKUP($C151,'Test Cases'!$A:$G,7,FALSE),"")</f>
        <v/>
      </c>
      <c r="F151" s="30">
        <f>IFERROR(VLOOKUP($C151,'Test Cases'!$A:$I,9,FALSE),"")</f>
        <v/>
      </c>
      <c r="G151" s="29">
        <f>IFERROR(VLOOKUP($C151,'Test Cases'!$A:$K,11,FALSE),"")</f>
        <v/>
      </c>
      <c r="H151" s="24" t="inlineStr"/>
      <c r="I151" s="24" t="inlineStr">
        <is>
          <t>Open</t>
        </is>
      </c>
      <c r="J151" s="24" t="inlineStr"/>
      <c r="K151" s="25" t="inlineStr"/>
      <c r="L151" s="25" t="inlineStr"/>
      <c r="M151" s="25" t="inlineStr"/>
      <c r="N151" s="25" t="inlineStr"/>
      <c r="O151" s="24" t="inlineStr"/>
      <c r="P151" s="25" t="inlineStr"/>
      <c r="Q151" s="24" t="inlineStr"/>
      <c r="R151" s="24" t="inlineStr"/>
      <c r="S151" s="24" t="inlineStr"/>
      <c r="T151" s="25" t="inlineStr"/>
    </row>
    <row r="152">
      <c r="A152" s="24" t="inlineStr"/>
      <c r="B152" s="24" t="inlineStr"/>
      <c r="C152" s="23" t="inlineStr"/>
      <c r="D152" s="29">
        <f>IFERROR(VLOOKUP($C152,'Test Cases'!$A:$H,8,FALSE),"")</f>
        <v/>
      </c>
      <c r="E152" s="29">
        <f>IFERROR(VLOOKUP($C152,'Test Cases'!$A:$G,7,FALSE),"")</f>
        <v/>
      </c>
      <c r="F152" s="30">
        <f>IFERROR(VLOOKUP($C152,'Test Cases'!$A:$I,9,FALSE),"")</f>
        <v/>
      </c>
      <c r="G152" s="29">
        <f>IFERROR(VLOOKUP($C152,'Test Cases'!$A:$K,11,FALSE),"")</f>
        <v/>
      </c>
      <c r="H152" s="24" t="inlineStr"/>
      <c r="I152" s="24" t="inlineStr">
        <is>
          <t>Open</t>
        </is>
      </c>
      <c r="J152" s="24" t="inlineStr"/>
      <c r="K152" s="25" t="inlineStr"/>
      <c r="L152" s="25" t="inlineStr"/>
      <c r="M152" s="25" t="inlineStr"/>
      <c r="N152" s="25" t="inlineStr"/>
      <c r="O152" s="24" t="inlineStr"/>
      <c r="P152" s="25" t="inlineStr"/>
      <c r="Q152" s="24" t="inlineStr"/>
      <c r="R152" s="24" t="inlineStr"/>
      <c r="S152" s="24" t="inlineStr"/>
      <c r="T152" s="25" t="inlineStr"/>
    </row>
    <row r="153">
      <c r="A153" s="24" t="inlineStr"/>
      <c r="B153" s="24" t="inlineStr"/>
      <c r="C153" s="23" t="inlineStr"/>
      <c r="D153" s="29">
        <f>IFERROR(VLOOKUP($C153,'Test Cases'!$A:$H,8,FALSE),"")</f>
        <v/>
      </c>
      <c r="E153" s="29">
        <f>IFERROR(VLOOKUP($C153,'Test Cases'!$A:$G,7,FALSE),"")</f>
        <v/>
      </c>
      <c r="F153" s="30">
        <f>IFERROR(VLOOKUP($C153,'Test Cases'!$A:$I,9,FALSE),"")</f>
        <v/>
      </c>
      <c r="G153" s="29">
        <f>IFERROR(VLOOKUP($C153,'Test Cases'!$A:$K,11,FALSE),"")</f>
        <v/>
      </c>
      <c r="H153" s="24" t="inlineStr"/>
      <c r="I153" s="24" t="inlineStr">
        <is>
          <t>Open</t>
        </is>
      </c>
      <c r="J153" s="24" t="inlineStr"/>
      <c r="K153" s="25" t="inlineStr"/>
      <c r="L153" s="25" t="inlineStr"/>
      <c r="M153" s="25" t="inlineStr"/>
      <c r="N153" s="25" t="inlineStr"/>
      <c r="O153" s="24" t="inlineStr"/>
      <c r="P153" s="25" t="inlineStr"/>
      <c r="Q153" s="24" t="inlineStr"/>
      <c r="R153" s="24" t="inlineStr"/>
      <c r="S153" s="24" t="inlineStr"/>
      <c r="T153" s="25" t="inlineStr"/>
    </row>
    <row r="154">
      <c r="A154" s="24" t="inlineStr"/>
      <c r="B154" s="24" t="inlineStr"/>
      <c r="C154" s="23" t="inlineStr"/>
      <c r="D154" s="29">
        <f>IFERROR(VLOOKUP($C154,'Test Cases'!$A:$H,8,FALSE),"")</f>
        <v/>
      </c>
      <c r="E154" s="29">
        <f>IFERROR(VLOOKUP($C154,'Test Cases'!$A:$G,7,FALSE),"")</f>
        <v/>
      </c>
      <c r="F154" s="30">
        <f>IFERROR(VLOOKUP($C154,'Test Cases'!$A:$I,9,FALSE),"")</f>
        <v/>
      </c>
      <c r="G154" s="29">
        <f>IFERROR(VLOOKUP($C154,'Test Cases'!$A:$K,11,FALSE),"")</f>
        <v/>
      </c>
      <c r="H154" s="24" t="inlineStr"/>
      <c r="I154" s="24" t="inlineStr">
        <is>
          <t>Open</t>
        </is>
      </c>
      <c r="J154" s="24" t="inlineStr"/>
      <c r="K154" s="25" t="inlineStr"/>
      <c r="L154" s="25" t="inlineStr"/>
      <c r="M154" s="25" t="inlineStr"/>
      <c r="N154" s="25" t="inlineStr"/>
      <c r="O154" s="24" t="inlineStr"/>
      <c r="P154" s="25" t="inlineStr"/>
      <c r="Q154" s="24" t="inlineStr"/>
      <c r="R154" s="24" t="inlineStr"/>
      <c r="S154" s="24" t="inlineStr"/>
      <c r="T154" s="25" t="inlineStr"/>
    </row>
    <row r="155">
      <c r="A155" s="24" t="inlineStr"/>
      <c r="B155" s="24" t="inlineStr"/>
      <c r="C155" s="23" t="inlineStr"/>
      <c r="D155" s="29">
        <f>IFERROR(VLOOKUP($C155,'Test Cases'!$A:$H,8,FALSE),"")</f>
        <v/>
      </c>
      <c r="E155" s="29">
        <f>IFERROR(VLOOKUP($C155,'Test Cases'!$A:$G,7,FALSE),"")</f>
        <v/>
      </c>
      <c r="F155" s="30">
        <f>IFERROR(VLOOKUP($C155,'Test Cases'!$A:$I,9,FALSE),"")</f>
        <v/>
      </c>
      <c r="G155" s="29">
        <f>IFERROR(VLOOKUP($C155,'Test Cases'!$A:$K,11,FALSE),"")</f>
        <v/>
      </c>
      <c r="H155" s="24" t="inlineStr"/>
      <c r="I155" s="24" t="inlineStr">
        <is>
          <t>Open</t>
        </is>
      </c>
      <c r="J155" s="24" t="inlineStr"/>
      <c r="K155" s="25" t="inlineStr"/>
      <c r="L155" s="25" t="inlineStr"/>
      <c r="M155" s="25" t="inlineStr"/>
      <c r="N155" s="25" t="inlineStr"/>
      <c r="O155" s="24" t="inlineStr"/>
      <c r="P155" s="25" t="inlineStr"/>
      <c r="Q155" s="24" t="inlineStr"/>
      <c r="R155" s="24" t="inlineStr"/>
      <c r="S155" s="24" t="inlineStr"/>
      <c r="T155" s="25" t="inlineStr"/>
    </row>
    <row r="156">
      <c r="A156" s="24" t="inlineStr"/>
      <c r="B156" s="24" t="inlineStr"/>
      <c r="C156" s="23" t="inlineStr"/>
      <c r="D156" s="29">
        <f>IFERROR(VLOOKUP($C156,'Test Cases'!$A:$H,8,FALSE),"")</f>
        <v/>
      </c>
      <c r="E156" s="29">
        <f>IFERROR(VLOOKUP($C156,'Test Cases'!$A:$G,7,FALSE),"")</f>
        <v/>
      </c>
      <c r="F156" s="30">
        <f>IFERROR(VLOOKUP($C156,'Test Cases'!$A:$I,9,FALSE),"")</f>
        <v/>
      </c>
      <c r="G156" s="29">
        <f>IFERROR(VLOOKUP($C156,'Test Cases'!$A:$K,11,FALSE),"")</f>
        <v/>
      </c>
      <c r="H156" s="24" t="inlineStr"/>
      <c r="I156" s="24" t="inlineStr">
        <is>
          <t>Open</t>
        </is>
      </c>
      <c r="J156" s="24" t="inlineStr"/>
      <c r="K156" s="25" t="inlineStr"/>
      <c r="L156" s="25" t="inlineStr"/>
      <c r="M156" s="25" t="inlineStr"/>
      <c r="N156" s="25" t="inlineStr"/>
      <c r="O156" s="24" t="inlineStr"/>
      <c r="P156" s="25" t="inlineStr"/>
      <c r="Q156" s="24" t="inlineStr"/>
      <c r="R156" s="24" t="inlineStr"/>
      <c r="S156" s="24" t="inlineStr"/>
      <c r="T156" s="25" t="inlineStr"/>
    </row>
    <row r="157">
      <c r="A157" s="24" t="inlineStr"/>
      <c r="B157" s="24" t="inlineStr"/>
      <c r="C157" s="23" t="inlineStr"/>
      <c r="D157" s="29">
        <f>IFERROR(VLOOKUP($C157,'Test Cases'!$A:$H,8,FALSE),"")</f>
        <v/>
      </c>
      <c r="E157" s="29">
        <f>IFERROR(VLOOKUP($C157,'Test Cases'!$A:$G,7,FALSE),"")</f>
        <v/>
      </c>
      <c r="F157" s="30">
        <f>IFERROR(VLOOKUP($C157,'Test Cases'!$A:$I,9,FALSE),"")</f>
        <v/>
      </c>
      <c r="G157" s="29">
        <f>IFERROR(VLOOKUP($C157,'Test Cases'!$A:$K,11,FALSE),"")</f>
        <v/>
      </c>
      <c r="H157" s="24" t="inlineStr"/>
      <c r="I157" s="24" t="inlineStr">
        <is>
          <t>Open</t>
        </is>
      </c>
      <c r="J157" s="24" t="inlineStr"/>
      <c r="K157" s="25" t="inlineStr"/>
      <c r="L157" s="25" t="inlineStr"/>
      <c r="M157" s="25" t="inlineStr"/>
      <c r="N157" s="25" t="inlineStr"/>
      <c r="O157" s="24" t="inlineStr"/>
      <c r="P157" s="25" t="inlineStr"/>
      <c r="Q157" s="24" t="inlineStr"/>
      <c r="R157" s="24" t="inlineStr"/>
      <c r="S157" s="24" t="inlineStr"/>
      <c r="T157" s="25" t="inlineStr"/>
    </row>
    <row r="158">
      <c r="A158" s="24" t="inlineStr"/>
      <c r="B158" s="24" t="inlineStr"/>
      <c r="C158" s="23" t="inlineStr"/>
      <c r="D158" s="29">
        <f>IFERROR(VLOOKUP($C158,'Test Cases'!$A:$H,8,FALSE),"")</f>
        <v/>
      </c>
      <c r="E158" s="29">
        <f>IFERROR(VLOOKUP($C158,'Test Cases'!$A:$G,7,FALSE),"")</f>
        <v/>
      </c>
      <c r="F158" s="30">
        <f>IFERROR(VLOOKUP($C158,'Test Cases'!$A:$I,9,FALSE),"")</f>
        <v/>
      </c>
      <c r="G158" s="29">
        <f>IFERROR(VLOOKUP($C158,'Test Cases'!$A:$K,11,FALSE),"")</f>
        <v/>
      </c>
      <c r="H158" s="24" t="inlineStr"/>
      <c r="I158" s="24" t="inlineStr">
        <is>
          <t>Open</t>
        </is>
      </c>
      <c r="J158" s="24" t="inlineStr"/>
      <c r="K158" s="25" t="inlineStr"/>
      <c r="L158" s="25" t="inlineStr"/>
      <c r="M158" s="25" t="inlineStr"/>
      <c r="N158" s="25" t="inlineStr"/>
      <c r="O158" s="24" t="inlineStr"/>
      <c r="P158" s="25" t="inlineStr"/>
      <c r="Q158" s="24" t="inlineStr"/>
      <c r="R158" s="24" t="inlineStr"/>
      <c r="S158" s="24" t="inlineStr"/>
      <c r="T158" s="25" t="inlineStr"/>
    </row>
    <row r="159">
      <c r="A159" s="24" t="inlineStr"/>
      <c r="B159" s="24" t="inlineStr"/>
      <c r="C159" s="23" t="inlineStr"/>
      <c r="D159" s="29">
        <f>IFERROR(VLOOKUP($C159,'Test Cases'!$A:$H,8,FALSE),"")</f>
        <v/>
      </c>
      <c r="E159" s="29">
        <f>IFERROR(VLOOKUP($C159,'Test Cases'!$A:$G,7,FALSE),"")</f>
        <v/>
      </c>
      <c r="F159" s="30">
        <f>IFERROR(VLOOKUP($C159,'Test Cases'!$A:$I,9,FALSE),"")</f>
        <v/>
      </c>
      <c r="G159" s="29">
        <f>IFERROR(VLOOKUP($C159,'Test Cases'!$A:$K,11,FALSE),"")</f>
        <v/>
      </c>
      <c r="H159" s="24" t="inlineStr"/>
      <c r="I159" s="24" t="inlineStr">
        <is>
          <t>Open</t>
        </is>
      </c>
      <c r="J159" s="24" t="inlineStr"/>
      <c r="K159" s="25" t="inlineStr"/>
      <c r="L159" s="25" t="inlineStr"/>
      <c r="M159" s="25" t="inlineStr"/>
      <c r="N159" s="25" t="inlineStr"/>
      <c r="O159" s="24" t="inlineStr"/>
      <c r="P159" s="25" t="inlineStr"/>
      <c r="Q159" s="24" t="inlineStr"/>
      <c r="R159" s="24" t="inlineStr"/>
      <c r="S159" s="24" t="inlineStr"/>
      <c r="T159" s="25" t="inlineStr"/>
    </row>
    <row r="160">
      <c r="A160" s="24" t="inlineStr"/>
      <c r="B160" s="24" t="inlineStr"/>
      <c r="C160" s="23" t="inlineStr"/>
      <c r="D160" s="29">
        <f>IFERROR(VLOOKUP($C160,'Test Cases'!$A:$H,8,FALSE),"")</f>
        <v/>
      </c>
      <c r="E160" s="29">
        <f>IFERROR(VLOOKUP($C160,'Test Cases'!$A:$G,7,FALSE),"")</f>
        <v/>
      </c>
      <c r="F160" s="30">
        <f>IFERROR(VLOOKUP($C160,'Test Cases'!$A:$I,9,FALSE),"")</f>
        <v/>
      </c>
      <c r="G160" s="29">
        <f>IFERROR(VLOOKUP($C160,'Test Cases'!$A:$K,11,FALSE),"")</f>
        <v/>
      </c>
      <c r="H160" s="24" t="inlineStr"/>
      <c r="I160" s="24" t="inlineStr">
        <is>
          <t>Open</t>
        </is>
      </c>
      <c r="J160" s="24" t="inlineStr"/>
      <c r="K160" s="25" t="inlineStr"/>
      <c r="L160" s="25" t="inlineStr"/>
      <c r="M160" s="25" t="inlineStr"/>
      <c r="N160" s="25" t="inlineStr"/>
      <c r="O160" s="24" t="inlineStr"/>
      <c r="P160" s="25" t="inlineStr"/>
      <c r="Q160" s="24" t="inlineStr"/>
      <c r="R160" s="24" t="inlineStr"/>
      <c r="S160" s="24" t="inlineStr"/>
      <c r="T160" s="25" t="inlineStr"/>
    </row>
    <row r="161">
      <c r="A161" s="24" t="inlineStr"/>
      <c r="B161" s="24" t="inlineStr"/>
      <c r="C161" s="23" t="inlineStr"/>
      <c r="D161" s="29">
        <f>IFERROR(VLOOKUP($C161,'Test Cases'!$A:$H,8,FALSE),"")</f>
        <v/>
      </c>
      <c r="E161" s="29">
        <f>IFERROR(VLOOKUP($C161,'Test Cases'!$A:$G,7,FALSE),"")</f>
        <v/>
      </c>
      <c r="F161" s="30">
        <f>IFERROR(VLOOKUP($C161,'Test Cases'!$A:$I,9,FALSE),"")</f>
        <v/>
      </c>
      <c r="G161" s="29">
        <f>IFERROR(VLOOKUP($C161,'Test Cases'!$A:$K,11,FALSE),"")</f>
        <v/>
      </c>
      <c r="H161" s="24" t="inlineStr"/>
      <c r="I161" s="24" t="inlineStr">
        <is>
          <t>Open</t>
        </is>
      </c>
      <c r="J161" s="24" t="inlineStr"/>
      <c r="K161" s="25" t="inlineStr"/>
      <c r="L161" s="25" t="inlineStr"/>
      <c r="M161" s="25" t="inlineStr"/>
      <c r="N161" s="25" t="inlineStr"/>
      <c r="O161" s="24" t="inlineStr"/>
      <c r="P161" s="25" t="inlineStr"/>
      <c r="Q161" s="24" t="inlineStr"/>
      <c r="R161" s="24" t="inlineStr"/>
      <c r="S161" s="24" t="inlineStr"/>
      <c r="T161" s="25" t="inlineStr"/>
    </row>
    <row r="162">
      <c r="A162" s="24" t="inlineStr"/>
      <c r="B162" s="24" t="inlineStr"/>
      <c r="C162" s="23" t="inlineStr"/>
      <c r="D162" s="29">
        <f>IFERROR(VLOOKUP($C162,'Test Cases'!$A:$H,8,FALSE),"")</f>
        <v/>
      </c>
      <c r="E162" s="29">
        <f>IFERROR(VLOOKUP($C162,'Test Cases'!$A:$G,7,FALSE),"")</f>
        <v/>
      </c>
      <c r="F162" s="30">
        <f>IFERROR(VLOOKUP($C162,'Test Cases'!$A:$I,9,FALSE),"")</f>
        <v/>
      </c>
      <c r="G162" s="29">
        <f>IFERROR(VLOOKUP($C162,'Test Cases'!$A:$K,11,FALSE),"")</f>
        <v/>
      </c>
      <c r="H162" s="24" t="inlineStr"/>
      <c r="I162" s="24" t="inlineStr">
        <is>
          <t>Open</t>
        </is>
      </c>
      <c r="J162" s="24" t="inlineStr"/>
      <c r="K162" s="25" t="inlineStr"/>
      <c r="L162" s="25" t="inlineStr"/>
      <c r="M162" s="25" t="inlineStr"/>
      <c r="N162" s="25" t="inlineStr"/>
      <c r="O162" s="24" t="inlineStr"/>
      <c r="P162" s="25" t="inlineStr"/>
      <c r="Q162" s="24" t="inlineStr"/>
      <c r="R162" s="24" t="inlineStr"/>
      <c r="S162" s="24" t="inlineStr"/>
      <c r="T162" s="25" t="inlineStr"/>
    </row>
    <row r="163">
      <c r="A163" s="24" t="inlineStr"/>
      <c r="B163" s="24" t="inlineStr"/>
      <c r="C163" s="23" t="inlineStr"/>
      <c r="D163" s="29">
        <f>IFERROR(VLOOKUP($C163,'Test Cases'!$A:$H,8,FALSE),"")</f>
        <v/>
      </c>
      <c r="E163" s="29">
        <f>IFERROR(VLOOKUP($C163,'Test Cases'!$A:$G,7,FALSE),"")</f>
        <v/>
      </c>
      <c r="F163" s="30">
        <f>IFERROR(VLOOKUP($C163,'Test Cases'!$A:$I,9,FALSE),"")</f>
        <v/>
      </c>
      <c r="G163" s="29">
        <f>IFERROR(VLOOKUP($C163,'Test Cases'!$A:$K,11,FALSE),"")</f>
        <v/>
      </c>
      <c r="H163" s="24" t="inlineStr"/>
      <c r="I163" s="24" t="inlineStr">
        <is>
          <t>Open</t>
        </is>
      </c>
      <c r="J163" s="24" t="inlineStr"/>
      <c r="K163" s="25" t="inlineStr"/>
      <c r="L163" s="25" t="inlineStr"/>
      <c r="M163" s="25" t="inlineStr"/>
      <c r="N163" s="25" t="inlineStr"/>
      <c r="O163" s="24" t="inlineStr"/>
      <c r="P163" s="25" t="inlineStr"/>
      <c r="Q163" s="24" t="inlineStr"/>
      <c r="R163" s="24" t="inlineStr"/>
      <c r="S163" s="24" t="inlineStr"/>
      <c r="T163" s="25" t="inlineStr"/>
    </row>
    <row r="164">
      <c r="A164" s="24" t="inlineStr"/>
      <c r="B164" s="24" t="inlineStr"/>
      <c r="C164" s="23" t="inlineStr"/>
      <c r="D164" s="29">
        <f>IFERROR(VLOOKUP($C164,'Test Cases'!$A:$H,8,FALSE),"")</f>
        <v/>
      </c>
      <c r="E164" s="29">
        <f>IFERROR(VLOOKUP($C164,'Test Cases'!$A:$G,7,FALSE),"")</f>
        <v/>
      </c>
      <c r="F164" s="30">
        <f>IFERROR(VLOOKUP($C164,'Test Cases'!$A:$I,9,FALSE),"")</f>
        <v/>
      </c>
      <c r="G164" s="29">
        <f>IFERROR(VLOOKUP($C164,'Test Cases'!$A:$K,11,FALSE),"")</f>
        <v/>
      </c>
      <c r="H164" s="24" t="inlineStr"/>
      <c r="I164" s="24" t="inlineStr">
        <is>
          <t>Open</t>
        </is>
      </c>
      <c r="J164" s="24" t="inlineStr"/>
      <c r="K164" s="25" t="inlineStr"/>
      <c r="L164" s="25" t="inlineStr"/>
      <c r="M164" s="25" t="inlineStr"/>
      <c r="N164" s="25" t="inlineStr"/>
      <c r="O164" s="24" t="inlineStr"/>
      <c r="P164" s="25" t="inlineStr"/>
      <c r="Q164" s="24" t="inlineStr"/>
      <c r="R164" s="24" t="inlineStr"/>
      <c r="S164" s="24" t="inlineStr"/>
      <c r="T164" s="25" t="inlineStr"/>
    </row>
    <row r="165">
      <c r="A165" s="24" t="inlineStr"/>
      <c r="B165" s="24" t="inlineStr"/>
      <c r="C165" s="23" t="inlineStr"/>
      <c r="D165" s="29">
        <f>IFERROR(VLOOKUP($C165,'Test Cases'!$A:$H,8,FALSE),"")</f>
        <v/>
      </c>
      <c r="E165" s="29">
        <f>IFERROR(VLOOKUP($C165,'Test Cases'!$A:$G,7,FALSE),"")</f>
        <v/>
      </c>
      <c r="F165" s="30">
        <f>IFERROR(VLOOKUP($C165,'Test Cases'!$A:$I,9,FALSE),"")</f>
        <v/>
      </c>
      <c r="G165" s="29">
        <f>IFERROR(VLOOKUP($C165,'Test Cases'!$A:$K,11,FALSE),"")</f>
        <v/>
      </c>
      <c r="H165" s="24" t="inlineStr"/>
      <c r="I165" s="24" t="inlineStr">
        <is>
          <t>Open</t>
        </is>
      </c>
      <c r="J165" s="24" t="inlineStr"/>
      <c r="K165" s="25" t="inlineStr"/>
      <c r="L165" s="25" t="inlineStr"/>
      <c r="M165" s="25" t="inlineStr"/>
      <c r="N165" s="25" t="inlineStr"/>
      <c r="O165" s="24" t="inlineStr"/>
      <c r="P165" s="25" t="inlineStr"/>
      <c r="Q165" s="24" t="inlineStr"/>
      <c r="R165" s="24" t="inlineStr"/>
      <c r="S165" s="24" t="inlineStr"/>
      <c r="T165" s="25" t="inlineStr"/>
    </row>
    <row r="166">
      <c r="A166" s="24" t="inlineStr"/>
      <c r="B166" s="24" t="inlineStr"/>
      <c r="C166" s="23" t="inlineStr"/>
      <c r="D166" s="29">
        <f>IFERROR(VLOOKUP($C166,'Test Cases'!$A:$H,8,FALSE),"")</f>
        <v/>
      </c>
      <c r="E166" s="29">
        <f>IFERROR(VLOOKUP($C166,'Test Cases'!$A:$G,7,FALSE),"")</f>
        <v/>
      </c>
      <c r="F166" s="30">
        <f>IFERROR(VLOOKUP($C166,'Test Cases'!$A:$I,9,FALSE),"")</f>
        <v/>
      </c>
      <c r="G166" s="29">
        <f>IFERROR(VLOOKUP($C166,'Test Cases'!$A:$K,11,FALSE),"")</f>
        <v/>
      </c>
      <c r="H166" s="24" t="inlineStr"/>
      <c r="I166" s="24" t="inlineStr">
        <is>
          <t>Open</t>
        </is>
      </c>
      <c r="J166" s="24" t="inlineStr"/>
      <c r="K166" s="25" t="inlineStr"/>
      <c r="L166" s="25" t="inlineStr"/>
      <c r="M166" s="25" t="inlineStr"/>
      <c r="N166" s="25" t="inlineStr"/>
      <c r="O166" s="24" t="inlineStr"/>
      <c r="P166" s="25" t="inlineStr"/>
      <c r="Q166" s="24" t="inlineStr"/>
      <c r="R166" s="24" t="inlineStr"/>
      <c r="S166" s="24" t="inlineStr"/>
      <c r="T166" s="25" t="inlineStr"/>
    </row>
    <row r="167">
      <c r="A167" s="24" t="inlineStr"/>
      <c r="B167" s="24" t="inlineStr"/>
      <c r="C167" s="23" t="inlineStr"/>
      <c r="D167" s="29">
        <f>IFERROR(VLOOKUP($C167,'Test Cases'!$A:$H,8,FALSE),"")</f>
        <v/>
      </c>
      <c r="E167" s="29">
        <f>IFERROR(VLOOKUP($C167,'Test Cases'!$A:$G,7,FALSE),"")</f>
        <v/>
      </c>
      <c r="F167" s="30">
        <f>IFERROR(VLOOKUP($C167,'Test Cases'!$A:$I,9,FALSE),"")</f>
        <v/>
      </c>
      <c r="G167" s="29">
        <f>IFERROR(VLOOKUP($C167,'Test Cases'!$A:$K,11,FALSE),"")</f>
        <v/>
      </c>
      <c r="H167" s="24" t="inlineStr"/>
      <c r="I167" s="24" t="inlineStr">
        <is>
          <t>Open</t>
        </is>
      </c>
      <c r="J167" s="24" t="inlineStr"/>
      <c r="K167" s="25" t="inlineStr"/>
      <c r="L167" s="25" t="inlineStr"/>
      <c r="M167" s="25" t="inlineStr"/>
      <c r="N167" s="25" t="inlineStr"/>
      <c r="O167" s="24" t="inlineStr"/>
      <c r="P167" s="25" t="inlineStr"/>
      <c r="Q167" s="24" t="inlineStr"/>
      <c r="R167" s="24" t="inlineStr"/>
      <c r="S167" s="24" t="inlineStr"/>
      <c r="T167" s="25" t="inlineStr"/>
    </row>
    <row r="168">
      <c r="A168" s="24" t="inlineStr"/>
      <c r="B168" s="24" t="inlineStr"/>
      <c r="C168" s="23" t="inlineStr"/>
      <c r="D168" s="29">
        <f>IFERROR(VLOOKUP($C168,'Test Cases'!$A:$H,8,FALSE),"")</f>
        <v/>
      </c>
      <c r="E168" s="29">
        <f>IFERROR(VLOOKUP($C168,'Test Cases'!$A:$G,7,FALSE),"")</f>
        <v/>
      </c>
      <c r="F168" s="30">
        <f>IFERROR(VLOOKUP($C168,'Test Cases'!$A:$I,9,FALSE),"")</f>
        <v/>
      </c>
      <c r="G168" s="29">
        <f>IFERROR(VLOOKUP($C168,'Test Cases'!$A:$K,11,FALSE),"")</f>
        <v/>
      </c>
      <c r="H168" s="24" t="inlineStr"/>
      <c r="I168" s="24" t="inlineStr">
        <is>
          <t>Open</t>
        </is>
      </c>
      <c r="J168" s="24" t="inlineStr"/>
      <c r="K168" s="25" t="inlineStr"/>
      <c r="L168" s="25" t="inlineStr"/>
      <c r="M168" s="25" t="inlineStr"/>
      <c r="N168" s="25" t="inlineStr"/>
      <c r="O168" s="24" t="inlineStr"/>
      <c r="P168" s="25" t="inlineStr"/>
      <c r="Q168" s="24" t="inlineStr"/>
      <c r="R168" s="24" t="inlineStr"/>
      <c r="S168" s="24" t="inlineStr"/>
      <c r="T168" s="25" t="inlineStr"/>
    </row>
    <row r="169">
      <c r="A169" s="24" t="inlineStr"/>
      <c r="B169" s="24" t="inlineStr"/>
      <c r="C169" s="23" t="inlineStr"/>
      <c r="D169" s="29">
        <f>IFERROR(VLOOKUP($C169,'Test Cases'!$A:$H,8,FALSE),"")</f>
        <v/>
      </c>
      <c r="E169" s="29">
        <f>IFERROR(VLOOKUP($C169,'Test Cases'!$A:$G,7,FALSE),"")</f>
        <v/>
      </c>
      <c r="F169" s="30">
        <f>IFERROR(VLOOKUP($C169,'Test Cases'!$A:$I,9,FALSE),"")</f>
        <v/>
      </c>
      <c r="G169" s="29">
        <f>IFERROR(VLOOKUP($C169,'Test Cases'!$A:$K,11,FALSE),"")</f>
        <v/>
      </c>
      <c r="H169" s="24" t="inlineStr"/>
      <c r="I169" s="24" t="inlineStr">
        <is>
          <t>Open</t>
        </is>
      </c>
      <c r="J169" s="24" t="inlineStr"/>
      <c r="K169" s="25" t="inlineStr"/>
      <c r="L169" s="25" t="inlineStr"/>
      <c r="M169" s="25" t="inlineStr"/>
      <c r="N169" s="25" t="inlineStr"/>
      <c r="O169" s="24" t="inlineStr"/>
      <c r="P169" s="25" t="inlineStr"/>
      <c r="Q169" s="24" t="inlineStr"/>
      <c r="R169" s="24" t="inlineStr"/>
      <c r="S169" s="24" t="inlineStr"/>
      <c r="T169" s="25" t="inlineStr"/>
    </row>
    <row r="170">
      <c r="A170" s="24" t="inlineStr"/>
      <c r="B170" s="24" t="inlineStr"/>
      <c r="C170" s="23" t="inlineStr"/>
      <c r="D170" s="29">
        <f>IFERROR(VLOOKUP($C170,'Test Cases'!$A:$H,8,FALSE),"")</f>
        <v/>
      </c>
      <c r="E170" s="29">
        <f>IFERROR(VLOOKUP($C170,'Test Cases'!$A:$G,7,FALSE),"")</f>
        <v/>
      </c>
      <c r="F170" s="30">
        <f>IFERROR(VLOOKUP($C170,'Test Cases'!$A:$I,9,FALSE),"")</f>
        <v/>
      </c>
      <c r="G170" s="29">
        <f>IFERROR(VLOOKUP($C170,'Test Cases'!$A:$K,11,FALSE),"")</f>
        <v/>
      </c>
      <c r="H170" s="24" t="inlineStr"/>
      <c r="I170" s="24" t="inlineStr">
        <is>
          <t>Open</t>
        </is>
      </c>
      <c r="J170" s="24" t="inlineStr"/>
      <c r="K170" s="25" t="inlineStr"/>
      <c r="L170" s="25" t="inlineStr"/>
      <c r="M170" s="25" t="inlineStr"/>
      <c r="N170" s="25" t="inlineStr"/>
      <c r="O170" s="24" t="inlineStr"/>
      <c r="P170" s="25" t="inlineStr"/>
      <c r="Q170" s="24" t="inlineStr"/>
      <c r="R170" s="24" t="inlineStr"/>
      <c r="S170" s="24" t="inlineStr"/>
      <c r="T170" s="25" t="inlineStr"/>
    </row>
    <row r="171">
      <c r="A171" s="24" t="inlineStr"/>
      <c r="B171" s="24" t="inlineStr"/>
      <c r="C171" s="23" t="inlineStr"/>
      <c r="D171" s="29">
        <f>IFERROR(VLOOKUP($C171,'Test Cases'!$A:$H,8,FALSE),"")</f>
        <v/>
      </c>
      <c r="E171" s="29">
        <f>IFERROR(VLOOKUP($C171,'Test Cases'!$A:$G,7,FALSE),"")</f>
        <v/>
      </c>
      <c r="F171" s="30">
        <f>IFERROR(VLOOKUP($C171,'Test Cases'!$A:$I,9,FALSE),"")</f>
        <v/>
      </c>
      <c r="G171" s="29">
        <f>IFERROR(VLOOKUP($C171,'Test Cases'!$A:$K,11,FALSE),"")</f>
        <v/>
      </c>
      <c r="H171" s="24" t="inlineStr"/>
      <c r="I171" s="24" t="inlineStr">
        <is>
          <t>Open</t>
        </is>
      </c>
      <c r="J171" s="24" t="inlineStr"/>
      <c r="K171" s="25" t="inlineStr"/>
      <c r="L171" s="25" t="inlineStr"/>
      <c r="M171" s="25" t="inlineStr"/>
      <c r="N171" s="25" t="inlineStr"/>
      <c r="O171" s="24" t="inlineStr"/>
      <c r="P171" s="25" t="inlineStr"/>
      <c r="Q171" s="24" t="inlineStr"/>
      <c r="R171" s="24" t="inlineStr"/>
      <c r="S171" s="24" t="inlineStr"/>
      <c r="T171" s="25" t="inlineStr"/>
    </row>
    <row r="172">
      <c r="A172" s="24" t="inlineStr"/>
      <c r="B172" s="24" t="inlineStr"/>
      <c r="C172" s="23" t="inlineStr"/>
      <c r="D172" s="29">
        <f>IFERROR(VLOOKUP($C172,'Test Cases'!$A:$H,8,FALSE),"")</f>
        <v/>
      </c>
      <c r="E172" s="29">
        <f>IFERROR(VLOOKUP($C172,'Test Cases'!$A:$G,7,FALSE),"")</f>
        <v/>
      </c>
      <c r="F172" s="30">
        <f>IFERROR(VLOOKUP($C172,'Test Cases'!$A:$I,9,FALSE),"")</f>
        <v/>
      </c>
      <c r="G172" s="29">
        <f>IFERROR(VLOOKUP($C172,'Test Cases'!$A:$K,11,FALSE),"")</f>
        <v/>
      </c>
      <c r="H172" s="24" t="inlineStr"/>
      <c r="I172" s="24" t="inlineStr">
        <is>
          <t>Open</t>
        </is>
      </c>
      <c r="J172" s="24" t="inlineStr"/>
      <c r="K172" s="25" t="inlineStr"/>
      <c r="L172" s="25" t="inlineStr"/>
      <c r="M172" s="25" t="inlineStr"/>
      <c r="N172" s="25" t="inlineStr"/>
      <c r="O172" s="24" t="inlineStr"/>
      <c r="P172" s="25" t="inlineStr"/>
      <c r="Q172" s="24" t="inlineStr"/>
      <c r="R172" s="24" t="inlineStr"/>
      <c r="S172" s="24" t="inlineStr"/>
      <c r="T172" s="25" t="inlineStr"/>
    </row>
    <row r="173">
      <c r="A173" s="24" t="inlineStr"/>
      <c r="B173" s="24" t="inlineStr"/>
      <c r="C173" s="23" t="inlineStr"/>
      <c r="D173" s="29">
        <f>IFERROR(VLOOKUP($C173,'Test Cases'!$A:$H,8,FALSE),"")</f>
        <v/>
      </c>
      <c r="E173" s="29">
        <f>IFERROR(VLOOKUP($C173,'Test Cases'!$A:$G,7,FALSE),"")</f>
        <v/>
      </c>
      <c r="F173" s="30">
        <f>IFERROR(VLOOKUP($C173,'Test Cases'!$A:$I,9,FALSE),"")</f>
        <v/>
      </c>
      <c r="G173" s="29">
        <f>IFERROR(VLOOKUP($C173,'Test Cases'!$A:$K,11,FALSE),"")</f>
        <v/>
      </c>
      <c r="H173" s="24" t="inlineStr"/>
      <c r="I173" s="24" t="inlineStr">
        <is>
          <t>Open</t>
        </is>
      </c>
      <c r="J173" s="24" t="inlineStr"/>
      <c r="K173" s="25" t="inlineStr"/>
      <c r="L173" s="25" t="inlineStr"/>
      <c r="M173" s="25" t="inlineStr"/>
      <c r="N173" s="25" t="inlineStr"/>
      <c r="O173" s="24" t="inlineStr"/>
      <c r="P173" s="25" t="inlineStr"/>
      <c r="Q173" s="24" t="inlineStr"/>
      <c r="R173" s="24" t="inlineStr"/>
      <c r="S173" s="24" t="inlineStr"/>
      <c r="T173" s="25" t="inlineStr"/>
    </row>
    <row r="174">
      <c r="A174" s="24" t="inlineStr"/>
      <c r="B174" s="24" t="inlineStr"/>
      <c r="C174" s="23" t="inlineStr"/>
      <c r="D174" s="29">
        <f>IFERROR(VLOOKUP($C174,'Test Cases'!$A:$H,8,FALSE),"")</f>
        <v/>
      </c>
      <c r="E174" s="29">
        <f>IFERROR(VLOOKUP($C174,'Test Cases'!$A:$G,7,FALSE),"")</f>
        <v/>
      </c>
      <c r="F174" s="30">
        <f>IFERROR(VLOOKUP($C174,'Test Cases'!$A:$I,9,FALSE),"")</f>
        <v/>
      </c>
      <c r="G174" s="29">
        <f>IFERROR(VLOOKUP($C174,'Test Cases'!$A:$K,11,FALSE),"")</f>
        <v/>
      </c>
      <c r="H174" s="24" t="inlineStr"/>
      <c r="I174" s="24" t="inlineStr">
        <is>
          <t>Open</t>
        </is>
      </c>
      <c r="J174" s="24" t="inlineStr"/>
      <c r="K174" s="25" t="inlineStr"/>
      <c r="L174" s="25" t="inlineStr"/>
      <c r="M174" s="25" t="inlineStr"/>
      <c r="N174" s="25" t="inlineStr"/>
      <c r="O174" s="24" t="inlineStr"/>
      <c r="P174" s="25" t="inlineStr"/>
      <c r="Q174" s="24" t="inlineStr"/>
      <c r="R174" s="24" t="inlineStr"/>
      <c r="S174" s="24" t="inlineStr"/>
      <c r="T174" s="25" t="inlineStr"/>
    </row>
    <row r="175">
      <c r="A175" s="24" t="inlineStr"/>
      <c r="B175" s="24" t="inlineStr"/>
      <c r="C175" s="23" t="inlineStr"/>
      <c r="D175" s="29">
        <f>IFERROR(VLOOKUP($C175,'Test Cases'!$A:$H,8,FALSE),"")</f>
        <v/>
      </c>
      <c r="E175" s="29">
        <f>IFERROR(VLOOKUP($C175,'Test Cases'!$A:$G,7,FALSE),"")</f>
        <v/>
      </c>
      <c r="F175" s="30">
        <f>IFERROR(VLOOKUP($C175,'Test Cases'!$A:$I,9,FALSE),"")</f>
        <v/>
      </c>
      <c r="G175" s="29">
        <f>IFERROR(VLOOKUP($C175,'Test Cases'!$A:$K,11,FALSE),"")</f>
        <v/>
      </c>
      <c r="H175" s="24" t="inlineStr"/>
      <c r="I175" s="24" t="inlineStr">
        <is>
          <t>Open</t>
        </is>
      </c>
      <c r="J175" s="24" t="inlineStr"/>
      <c r="K175" s="25" t="inlineStr"/>
      <c r="L175" s="25" t="inlineStr"/>
      <c r="M175" s="25" t="inlineStr"/>
      <c r="N175" s="25" t="inlineStr"/>
      <c r="O175" s="24" t="inlineStr"/>
      <c r="P175" s="25" t="inlineStr"/>
      <c r="Q175" s="24" t="inlineStr"/>
      <c r="R175" s="24" t="inlineStr"/>
      <c r="S175" s="24" t="inlineStr"/>
      <c r="T175" s="25" t="inlineStr"/>
    </row>
    <row r="176">
      <c r="A176" s="24" t="inlineStr"/>
      <c r="B176" s="24" t="inlineStr"/>
      <c r="C176" s="23" t="inlineStr"/>
      <c r="D176" s="29">
        <f>IFERROR(VLOOKUP($C176,'Test Cases'!$A:$H,8,FALSE),"")</f>
        <v/>
      </c>
      <c r="E176" s="29">
        <f>IFERROR(VLOOKUP($C176,'Test Cases'!$A:$G,7,FALSE),"")</f>
        <v/>
      </c>
      <c r="F176" s="30">
        <f>IFERROR(VLOOKUP($C176,'Test Cases'!$A:$I,9,FALSE),"")</f>
        <v/>
      </c>
      <c r="G176" s="29">
        <f>IFERROR(VLOOKUP($C176,'Test Cases'!$A:$K,11,FALSE),"")</f>
        <v/>
      </c>
      <c r="H176" s="24" t="inlineStr"/>
      <c r="I176" s="24" t="inlineStr">
        <is>
          <t>Open</t>
        </is>
      </c>
      <c r="J176" s="24" t="inlineStr"/>
      <c r="K176" s="25" t="inlineStr"/>
      <c r="L176" s="25" t="inlineStr"/>
      <c r="M176" s="25" t="inlineStr"/>
      <c r="N176" s="25" t="inlineStr"/>
      <c r="O176" s="24" t="inlineStr"/>
      <c r="P176" s="25" t="inlineStr"/>
      <c r="Q176" s="24" t="inlineStr"/>
      <c r="R176" s="24" t="inlineStr"/>
      <c r="S176" s="24" t="inlineStr"/>
      <c r="T176" s="25" t="inlineStr"/>
    </row>
    <row r="177">
      <c r="A177" s="24" t="inlineStr"/>
      <c r="B177" s="24" t="inlineStr"/>
      <c r="C177" s="23" t="inlineStr"/>
      <c r="D177" s="29">
        <f>IFERROR(VLOOKUP($C177,'Test Cases'!$A:$H,8,FALSE),"")</f>
        <v/>
      </c>
      <c r="E177" s="29">
        <f>IFERROR(VLOOKUP($C177,'Test Cases'!$A:$G,7,FALSE),"")</f>
        <v/>
      </c>
      <c r="F177" s="30">
        <f>IFERROR(VLOOKUP($C177,'Test Cases'!$A:$I,9,FALSE),"")</f>
        <v/>
      </c>
      <c r="G177" s="29">
        <f>IFERROR(VLOOKUP($C177,'Test Cases'!$A:$K,11,FALSE),"")</f>
        <v/>
      </c>
      <c r="H177" s="24" t="inlineStr"/>
      <c r="I177" s="24" t="inlineStr">
        <is>
          <t>Open</t>
        </is>
      </c>
      <c r="J177" s="24" t="inlineStr"/>
      <c r="K177" s="25" t="inlineStr"/>
      <c r="L177" s="25" t="inlineStr"/>
      <c r="M177" s="25" t="inlineStr"/>
      <c r="N177" s="25" t="inlineStr"/>
      <c r="O177" s="24" t="inlineStr"/>
      <c r="P177" s="25" t="inlineStr"/>
      <c r="Q177" s="24" t="inlineStr"/>
      <c r="R177" s="24" t="inlineStr"/>
      <c r="S177" s="24" t="inlineStr"/>
      <c r="T177" s="25" t="inlineStr"/>
    </row>
    <row r="178">
      <c r="A178" s="24" t="inlineStr"/>
      <c r="B178" s="24" t="inlineStr"/>
      <c r="C178" s="23" t="inlineStr"/>
      <c r="D178" s="29">
        <f>IFERROR(VLOOKUP($C178,'Test Cases'!$A:$H,8,FALSE),"")</f>
        <v/>
      </c>
      <c r="E178" s="29">
        <f>IFERROR(VLOOKUP($C178,'Test Cases'!$A:$G,7,FALSE),"")</f>
        <v/>
      </c>
      <c r="F178" s="30">
        <f>IFERROR(VLOOKUP($C178,'Test Cases'!$A:$I,9,FALSE),"")</f>
        <v/>
      </c>
      <c r="G178" s="29">
        <f>IFERROR(VLOOKUP($C178,'Test Cases'!$A:$K,11,FALSE),"")</f>
        <v/>
      </c>
      <c r="H178" s="24" t="inlineStr"/>
      <c r="I178" s="24" t="inlineStr">
        <is>
          <t>Open</t>
        </is>
      </c>
      <c r="J178" s="24" t="inlineStr"/>
      <c r="K178" s="25" t="inlineStr"/>
      <c r="L178" s="25" t="inlineStr"/>
      <c r="M178" s="25" t="inlineStr"/>
      <c r="N178" s="25" t="inlineStr"/>
      <c r="O178" s="24" t="inlineStr"/>
      <c r="P178" s="25" t="inlineStr"/>
      <c r="Q178" s="24" t="inlineStr"/>
      <c r="R178" s="24" t="inlineStr"/>
      <c r="S178" s="24" t="inlineStr"/>
      <c r="T178" s="25" t="inlineStr"/>
    </row>
    <row r="179">
      <c r="A179" s="24" t="inlineStr"/>
      <c r="B179" s="24" t="inlineStr"/>
      <c r="C179" s="23" t="inlineStr"/>
      <c r="D179" s="29">
        <f>IFERROR(VLOOKUP($C179,'Test Cases'!$A:$H,8,FALSE),"")</f>
        <v/>
      </c>
      <c r="E179" s="29">
        <f>IFERROR(VLOOKUP($C179,'Test Cases'!$A:$G,7,FALSE),"")</f>
        <v/>
      </c>
      <c r="F179" s="30">
        <f>IFERROR(VLOOKUP($C179,'Test Cases'!$A:$I,9,FALSE),"")</f>
        <v/>
      </c>
      <c r="G179" s="29">
        <f>IFERROR(VLOOKUP($C179,'Test Cases'!$A:$K,11,FALSE),"")</f>
        <v/>
      </c>
      <c r="H179" s="24" t="inlineStr"/>
      <c r="I179" s="24" t="inlineStr">
        <is>
          <t>Open</t>
        </is>
      </c>
      <c r="J179" s="24" t="inlineStr"/>
      <c r="K179" s="25" t="inlineStr"/>
      <c r="L179" s="25" t="inlineStr"/>
      <c r="M179" s="25" t="inlineStr"/>
      <c r="N179" s="25" t="inlineStr"/>
      <c r="O179" s="24" t="inlineStr"/>
      <c r="P179" s="25" t="inlineStr"/>
      <c r="Q179" s="24" t="inlineStr"/>
      <c r="R179" s="24" t="inlineStr"/>
      <c r="S179" s="24" t="inlineStr"/>
      <c r="T179" s="25" t="inlineStr"/>
    </row>
    <row r="180">
      <c r="A180" s="24" t="inlineStr"/>
      <c r="B180" s="24" t="inlineStr"/>
      <c r="C180" s="23" t="inlineStr"/>
      <c r="D180" s="29">
        <f>IFERROR(VLOOKUP($C180,'Test Cases'!$A:$H,8,FALSE),"")</f>
        <v/>
      </c>
      <c r="E180" s="29">
        <f>IFERROR(VLOOKUP($C180,'Test Cases'!$A:$G,7,FALSE),"")</f>
        <v/>
      </c>
      <c r="F180" s="30">
        <f>IFERROR(VLOOKUP($C180,'Test Cases'!$A:$I,9,FALSE),"")</f>
        <v/>
      </c>
      <c r="G180" s="29">
        <f>IFERROR(VLOOKUP($C180,'Test Cases'!$A:$K,11,FALSE),"")</f>
        <v/>
      </c>
      <c r="H180" s="24" t="inlineStr"/>
      <c r="I180" s="24" t="inlineStr">
        <is>
          <t>Open</t>
        </is>
      </c>
      <c r="J180" s="24" t="inlineStr"/>
      <c r="K180" s="25" t="inlineStr"/>
      <c r="L180" s="25" t="inlineStr"/>
      <c r="M180" s="25" t="inlineStr"/>
      <c r="N180" s="25" t="inlineStr"/>
      <c r="O180" s="24" t="inlineStr"/>
      <c r="P180" s="25" t="inlineStr"/>
      <c r="Q180" s="24" t="inlineStr"/>
      <c r="R180" s="24" t="inlineStr"/>
      <c r="S180" s="24" t="inlineStr"/>
      <c r="T180" s="25" t="inlineStr"/>
    </row>
    <row r="181">
      <c r="A181" s="24" t="inlineStr"/>
      <c r="B181" s="24" t="inlineStr"/>
      <c r="C181" s="23" t="inlineStr"/>
      <c r="D181" s="29">
        <f>IFERROR(VLOOKUP($C181,'Test Cases'!$A:$H,8,FALSE),"")</f>
        <v/>
      </c>
      <c r="E181" s="29">
        <f>IFERROR(VLOOKUP($C181,'Test Cases'!$A:$G,7,FALSE),"")</f>
        <v/>
      </c>
      <c r="F181" s="30">
        <f>IFERROR(VLOOKUP($C181,'Test Cases'!$A:$I,9,FALSE),"")</f>
        <v/>
      </c>
      <c r="G181" s="29">
        <f>IFERROR(VLOOKUP($C181,'Test Cases'!$A:$K,11,FALSE),"")</f>
        <v/>
      </c>
      <c r="H181" s="24" t="inlineStr"/>
      <c r="I181" s="24" t="inlineStr">
        <is>
          <t>Open</t>
        </is>
      </c>
      <c r="J181" s="24" t="inlineStr"/>
      <c r="K181" s="25" t="inlineStr"/>
      <c r="L181" s="25" t="inlineStr"/>
      <c r="M181" s="25" t="inlineStr"/>
      <c r="N181" s="25" t="inlineStr"/>
      <c r="O181" s="24" t="inlineStr"/>
      <c r="P181" s="25" t="inlineStr"/>
      <c r="Q181" s="24" t="inlineStr"/>
      <c r="R181" s="24" t="inlineStr"/>
      <c r="S181" s="24" t="inlineStr"/>
      <c r="T181" s="25" t="inlineStr"/>
    </row>
    <row r="182">
      <c r="A182" s="24" t="inlineStr"/>
      <c r="B182" s="24" t="inlineStr"/>
      <c r="C182" s="23" t="inlineStr"/>
      <c r="D182" s="29">
        <f>IFERROR(VLOOKUP($C182,'Test Cases'!$A:$H,8,FALSE),"")</f>
        <v/>
      </c>
      <c r="E182" s="29">
        <f>IFERROR(VLOOKUP($C182,'Test Cases'!$A:$G,7,FALSE),"")</f>
        <v/>
      </c>
      <c r="F182" s="30">
        <f>IFERROR(VLOOKUP($C182,'Test Cases'!$A:$I,9,FALSE),"")</f>
        <v/>
      </c>
      <c r="G182" s="29">
        <f>IFERROR(VLOOKUP($C182,'Test Cases'!$A:$K,11,FALSE),"")</f>
        <v/>
      </c>
      <c r="H182" s="24" t="inlineStr"/>
      <c r="I182" s="24" t="inlineStr">
        <is>
          <t>Open</t>
        </is>
      </c>
      <c r="J182" s="24" t="inlineStr"/>
      <c r="K182" s="25" t="inlineStr"/>
      <c r="L182" s="25" t="inlineStr"/>
      <c r="M182" s="25" t="inlineStr"/>
      <c r="N182" s="25" t="inlineStr"/>
      <c r="O182" s="24" t="inlineStr"/>
      <c r="P182" s="25" t="inlineStr"/>
      <c r="Q182" s="24" t="inlineStr"/>
      <c r="R182" s="24" t="inlineStr"/>
      <c r="S182" s="24" t="inlineStr"/>
      <c r="T182" s="25" t="inlineStr"/>
    </row>
    <row r="183">
      <c r="A183" s="24" t="inlineStr"/>
      <c r="B183" s="24" t="inlineStr"/>
      <c r="C183" s="23" t="inlineStr"/>
      <c r="D183" s="29">
        <f>IFERROR(VLOOKUP($C183,'Test Cases'!$A:$H,8,FALSE),"")</f>
        <v/>
      </c>
      <c r="E183" s="29">
        <f>IFERROR(VLOOKUP($C183,'Test Cases'!$A:$G,7,FALSE),"")</f>
        <v/>
      </c>
      <c r="F183" s="30">
        <f>IFERROR(VLOOKUP($C183,'Test Cases'!$A:$I,9,FALSE),"")</f>
        <v/>
      </c>
      <c r="G183" s="29">
        <f>IFERROR(VLOOKUP($C183,'Test Cases'!$A:$K,11,FALSE),"")</f>
        <v/>
      </c>
      <c r="H183" s="24" t="inlineStr"/>
      <c r="I183" s="24" t="inlineStr">
        <is>
          <t>Open</t>
        </is>
      </c>
      <c r="J183" s="24" t="inlineStr"/>
      <c r="K183" s="25" t="inlineStr"/>
      <c r="L183" s="25" t="inlineStr"/>
      <c r="M183" s="25" t="inlineStr"/>
      <c r="N183" s="25" t="inlineStr"/>
      <c r="O183" s="24" t="inlineStr"/>
      <c r="P183" s="25" t="inlineStr"/>
      <c r="Q183" s="24" t="inlineStr"/>
      <c r="R183" s="24" t="inlineStr"/>
      <c r="S183" s="24" t="inlineStr"/>
      <c r="T183" s="25" t="inlineStr"/>
    </row>
    <row r="184">
      <c r="A184" s="24" t="inlineStr"/>
      <c r="B184" s="24" t="inlineStr"/>
      <c r="C184" s="23" t="inlineStr"/>
      <c r="D184" s="29">
        <f>IFERROR(VLOOKUP($C184,'Test Cases'!$A:$H,8,FALSE),"")</f>
        <v/>
      </c>
      <c r="E184" s="29">
        <f>IFERROR(VLOOKUP($C184,'Test Cases'!$A:$G,7,FALSE),"")</f>
        <v/>
      </c>
      <c r="F184" s="30">
        <f>IFERROR(VLOOKUP($C184,'Test Cases'!$A:$I,9,FALSE),"")</f>
        <v/>
      </c>
      <c r="G184" s="29">
        <f>IFERROR(VLOOKUP($C184,'Test Cases'!$A:$K,11,FALSE),"")</f>
        <v/>
      </c>
      <c r="H184" s="24" t="inlineStr"/>
      <c r="I184" s="24" t="inlineStr">
        <is>
          <t>Open</t>
        </is>
      </c>
      <c r="J184" s="24" t="inlineStr"/>
      <c r="K184" s="25" t="inlineStr"/>
      <c r="L184" s="25" t="inlineStr"/>
      <c r="M184" s="25" t="inlineStr"/>
      <c r="N184" s="25" t="inlineStr"/>
      <c r="O184" s="24" t="inlineStr"/>
      <c r="P184" s="25" t="inlineStr"/>
      <c r="Q184" s="24" t="inlineStr"/>
      <c r="R184" s="24" t="inlineStr"/>
      <c r="S184" s="24" t="inlineStr"/>
      <c r="T184" s="25" t="inlineStr"/>
    </row>
    <row r="185">
      <c r="A185" s="24" t="inlineStr"/>
      <c r="B185" s="24" t="inlineStr"/>
      <c r="C185" s="23" t="inlineStr"/>
      <c r="D185" s="29">
        <f>IFERROR(VLOOKUP($C185,'Test Cases'!$A:$H,8,FALSE),"")</f>
        <v/>
      </c>
      <c r="E185" s="29">
        <f>IFERROR(VLOOKUP($C185,'Test Cases'!$A:$G,7,FALSE),"")</f>
        <v/>
      </c>
      <c r="F185" s="30">
        <f>IFERROR(VLOOKUP($C185,'Test Cases'!$A:$I,9,FALSE),"")</f>
        <v/>
      </c>
      <c r="G185" s="29">
        <f>IFERROR(VLOOKUP($C185,'Test Cases'!$A:$K,11,FALSE),"")</f>
        <v/>
      </c>
      <c r="H185" s="24" t="inlineStr"/>
      <c r="I185" s="24" t="inlineStr">
        <is>
          <t>Open</t>
        </is>
      </c>
      <c r="J185" s="24" t="inlineStr"/>
      <c r="K185" s="25" t="inlineStr"/>
      <c r="L185" s="25" t="inlineStr"/>
      <c r="M185" s="25" t="inlineStr"/>
      <c r="N185" s="25" t="inlineStr"/>
      <c r="O185" s="24" t="inlineStr"/>
      <c r="P185" s="25" t="inlineStr"/>
      <c r="Q185" s="24" t="inlineStr"/>
      <c r="R185" s="24" t="inlineStr"/>
      <c r="S185" s="24" t="inlineStr"/>
      <c r="T185" s="25" t="inlineStr"/>
    </row>
    <row r="186">
      <c r="A186" s="24" t="inlineStr"/>
      <c r="B186" s="24" t="inlineStr"/>
      <c r="C186" s="23" t="inlineStr"/>
      <c r="D186" s="29">
        <f>IFERROR(VLOOKUP($C186,'Test Cases'!$A:$H,8,FALSE),"")</f>
        <v/>
      </c>
      <c r="E186" s="29">
        <f>IFERROR(VLOOKUP($C186,'Test Cases'!$A:$G,7,FALSE),"")</f>
        <v/>
      </c>
      <c r="F186" s="30">
        <f>IFERROR(VLOOKUP($C186,'Test Cases'!$A:$I,9,FALSE),"")</f>
        <v/>
      </c>
      <c r="G186" s="29">
        <f>IFERROR(VLOOKUP($C186,'Test Cases'!$A:$K,11,FALSE),"")</f>
        <v/>
      </c>
      <c r="H186" s="24" t="inlineStr"/>
      <c r="I186" s="24" t="inlineStr">
        <is>
          <t>Open</t>
        </is>
      </c>
      <c r="J186" s="24" t="inlineStr"/>
      <c r="K186" s="25" t="inlineStr"/>
      <c r="L186" s="25" t="inlineStr"/>
      <c r="M186" s="25" t="inlineStr"/>
      <c r="N186" s="25" t="inlineStr"/>
      <c r="O186" s="24" t="inlineStr"/>
      <c r="P186" s="25" t="inlineStr"/>
      <c r="Q186" s="24" t="inlineStr"/>
      <c r="R186" s="24" t="inlineStr"/>
      <c r="S186" s="24" t="inlineStr"/>
      <c r="T186" s="25" t="inlineStr"/>
    </row>
    <row r="187">
      <c r="A187" s="24" t="inlineStr"/>
      <c r="B187" s="24" t="inlineStr"/>
      <c r="C187" s="23" t="inlineStr"/>
      <c r="D187" s="29">
        <f>IFERROR(VLOOKUP($C187,'Test Cases'!$A:$H,8,FALSE),"")</f>
        <v/>
      </c>
      <c r="E187" s="29">
        <f>IFERROR(VLOOKUP($C187,'Test Cases'!$A:$G,7,FALSE),"")</f>
        <v/>
      </c>
      <c r="F187" s="30">
        <f>IFERROR(VLOOKUP($C187,'Test Cases'!$A:$I,9,FALSE),"")</f>
        <v/>
      </c>
      <c r="G187" s="29">
        <f>IFERROR(VLOOKUP($C187,'Test Cases'!$A:$K,11,FALSE),"")</f>
        <v/>
      </c>
      <c r="H187" s="24" t="inlineStr"/>
      <c r="I187" s="24" t="inlineStr">
        <is>
          <t>Open</t>
        </is>
      </c>
      <c r="J187" s="24" t="inlineStr"/>
      <c r="K187" s="25" t="inlineStr"/>
      <c r="L187" s="25" t="inlineStr"/>
      <c r="M187" s="25" t="inlineStr"/>
      <c r="N187" s="25" t="inlineStr"/>
      <c r="O187" s="24" t="inlineStr"/>
      <c r="P187" s="25" t="inlineStr"/>
      <c r="Q187" s="24" t="inlineStr"/>
      <c r="R187" s="24" t="inlineStr"/>
      <c r="S187" s="24" t="inlineStr"/>
      <c r="T187" s="25" t="inlineStr"/>
    </row>
    <row r="188">
      <c r="A188" s="24" t="inlineStr"/>
      <c r="B188" s="24" t="inlineStr"/>
      <c r="C188" s="23" t="inlineStr"/>
      <c r="D188" s="29">
        <f>IFERROR(VLOOKUP($C188,'Test Cases'!$A:$H,8,FALSE),"")</f>
        <v/>
      </c>
      <c r="E188" s="29">
        <f>IFERROR(VLOOKUP($C188,'Test Cases'!$A:$G,7,FALSE),"")</f>
        <v/>
      </c>
      <c r="F188" s="30">
        <f>IFERROR(VLOOKUP($C188,'Test Cases'!$A:$I,9,FALSE),"")</f>
        <v/>
      </c>
      <c r="G188" s="29">
        <f>IFERROR(VLOOKUP($C188,'Test Cases'!$A:$K,11,FALSE),"")</f>
        <v/>
      </c>
      <c r="H188" s="24" t="inlineStr"/>
      <c r="I188" s="24" t="inlineStr">
        <is>
          <t>Open</t>
        </is>
      </c>
      <c r="J188" s="24" t="inlineStr"/>
      <c r="K188" s="25" t="inlineStr"/>
      <c r="L188" s="25" t="inlineStr"/>
      <c r="M188" s="25" t="inlineStr"/>
      <c r="N188" s="25" t="inlineStr"/>
      <c r="O188" s="24" t="inlineStr"/>
      <c r="P188" s="25" t="inlineStr"/>
      <c r="Q188" s="24" t="inlineStr"/>
      <c r="R188" s="24" t="inlineStr"/>
      <c r="S188" s="24" t="inlineStr"/>
      <c r="T188" s="25" t="inlineStr"/>
    </row>
    <row r="189">
      <c r="A189" s="24" t="inlineStr"/>
      <c r="B189" s="24" t="inlineStr"/>
      <c r="C189" s="23" t="inlineStr"/>
      <c r="D189" s="29">
        <f>IFERROR(VLOOKUP($C189,'Test Cases'!$A:$H,8,FALSE),"")</f>
        <v/>
      </c>
      <c r="E189" s="29">
        <f>IFERROR(VLOOKUP($C189,'Test Cases'!$A:$G,7,FALSE),"")</f>
        <v/>
      </c>
      <c r="F189" s="30">
        <f>IFERROR(VLOOKUP($C189,'Test Cases'!$A:$I,9,FALSE),"")</f>
        <v/>
      </c>
      <c r="G189" s="29">
        <f>IFERROR(VLOOKUP($C189,'Test Cases'!$A:$K,11,FALSE),"")</f>
        <v/>
      </c>
      <c r="H189" s="24" t="inlineStr"/>
      <c r="I189" s="24" t="inlineStr">
        <is>
          <t>Open</t>
        </is>
      </c>
      <c r="J189" s="24" t="inlineStr"/>
      <c r="K189" s="25" t="inlineStr"/>
      <c r="L189" s="25" t="inlineStr"/>
      <c r="M189" s="25" t="inlineStr"/>
      <c r="N189" s="25" t="inlineStr"/>
      <c r="O189" s="24" t="inlineStr"/>
      <c r="P189" s="25" t="inlineStr"/>
      <c r="Q189" s="24" t="inlineStr"/>
      <c r="R189" s="24" t="inlineStr"/>
      <c r="S189" s="24" t="inlineStr"/>
      <c r="T189" s="25" t="inlineStr"/>
    </row>
    <row r="190">
      <c r="A190" s="24" t="inlineStr"/>
      <c r="B190" s="24" t="inlineStr"/>
      <c r="C190" s="23" t="inlineStr"/>
      <c r="D190" s="29">
        <f>IFERROR(VLOOKUP($C190,'Test Cases'!$A:$H,8,FALSE),"")</f>
        <v/>
      </c>
      <c r="E190" s="29">
        <f>IFERROR(VLOOKUP($C190,'Test Cases'!$A:$G,7,FALSE),"")</f>
        <v/>
      </c>
      <c r="F190" s="30">
        <f>IFERROR(VLOOKUP($C190,'Test Cases'!$A:$I,9,FALSE),"")</f>
        <v/>
      </c>
      <c r="G190" s="29">
        <f>IFERROR(VLOOKUP($C190,'Test Cases'!$A:$K,11,FALSE),"")</f>
        <v/>
      </c>
      <c r="H190" s="24" t="inlineStr"/>
      <c r="I190" s="24" t="inlineStr">
        <is>
          <t>Open</t>
        </is>
      </c>
      <c r="J190" s="24" t="inlineStr"/>
      <c r="K190" s="25" t="inlineStr"/>
      <c r="L190" s="25" t="inlineStr"/>
      <c r="M190" s="25" t="inlineStr"/>
      <c r="N190" s="25" t="inlineStr"/>
      <c r="O190" s="24" t="inlineStr"/>
      <c r="P190" s="25" t="inlineStr"/>
      <c r="Q190" s="24" t="inlineStr"/>
      <c r="R190" s="24" t="inlineStr"/>
      <c r="S190" s="24" t="inlineStr"/>
      <c r="T190" s="25" t="inlineStr"/>
    </row>
    <row r="191">
      <c r="A191" s="24" t="inlineStr"/>
      <c r="B191" s="24" t="inlineStr"/>
      <c r="C191" s="23" t="inlineStr"/>
      <c r="D191" s="29">
        <f>IFERROR(VLOOKUP($C191,'Test Cases'!$A:$H,8,FALSE),"")</f>
        <v/>
      </c>
      <c r="E191" s="29">
        <f>IFERROR(VLOOKUP($C191,'Test Cases'!$A:$G,7,FALSE),"")</f>
        <v/>
      </c>
      <c r="F191" s="30">
        <f>IFERROR(VLOOKUP($C191,'Test Cases'!$A:$I,9,FALSE),"")</f>
        <v/>
      </c>
      <c r="G191" s="29">
        <f>IFERROR(VLOOKUP($C191,'Test Cases'!$A:$K,11,FALSE),"")</f>
        <v/>
      </c>
      <c r="H191" s="24" t="inlineStr"/>
      <c r="I191" s="24" t="inlineStr">
        <is>
          <t>Open</t>
        </is>
      </c>
      <c r="J191" s="24" t="inlineStr"/>
      <c r="K191" s="25" t="inlineStr"/>
      <c r="L191" s="25" t="inlineStr"/>
      <c r="M191" s="25" t="inlineStr"/>
      <c r="N191" s="25" t="inlineStr"/>
      <c r="O191" s="24" t="inlineStr"/>
      <c r="P191" s="25" t="inlineStr"/>
      <c r="Q191" s="24" t="inlineStr"/>
      <c r="R191" s="24" t="inlineStr"/>
      <c r="S191" s="24" t="inlineStr"/>
      <c r="T191" s="25" t="inlineStr"/>
    </row>
    <row r="192">
      <c r="A192" s="24" t="inlineStr"/>
      <c r="B192" s="24" t="inlineStr"/>
      <c r="C192" s="23" t="inlineStr"/>
      <c r="D192" s="29">
        <f>IFERROR(VLOOKUP($C192,'Test Cases'!$A:$H,8,FALSE),"")</f>
        <v/>
      </c>
      <c r="E192" s="29">
        <f>IFERROR(VLOOKUP($C192,'Test Cases'!$A:$G,7,FALSE),"")</f>
        <v/>
      </c>
      <c r="F192" s="30">
        <f>IFERROR(VLOOKUP($C192,'Test Cases'!$A:$I,9,FALSE),"")</f>
        <v/>
      </c>
      <c r="G192" s="29">
        <f>IFERROR(VLOOKUP($C192,'Test Cases'!$A:$K,11,FALSE),"")</f>
        <v/>
      </c>
      <c r="H192" s="24" t="inlineStr"/>
      <c r="I192" s="24" t="inlineStr">
        <is>
          <t>Open</t>
        </is>
      </c>
      <c r="J192" s="24" t="inlineStr"/>
      <c r="K192" s="25" t="inlineStr"/>
      <c r="L192" s="25" t="inlineStr"/>
      <c r="M192" s="25" t="inlineStr"/>
      <c r="N192" s="25" t="inlineStr"/>
      <c r="O192" s="24" t="inlineStr"/>
      <c r="P192" s="25" t="inlineStr"/>
      <c r="Q192" s="24" t="inlineStr"/>
      <c r="R192" s="24" t="inlineStr"/>
      <c r="S192" s="24" t="inlineStr"/>
      <c r="T192" s="25" t="inlineStr"/>
    </row>
    <row r="193">
      <c r="A193" s="24" t="inlineStr"/>
      <c r="B193" s="24" t="inlineStr"/>
      <c r="C193" s="23" t="inlineStr"/>
      <c r="D193" s="29">
        <f>IFERROR(VLOOKUP($C193,'Test Cases'!$A:$H,8,FALSE),"")</f>
        <v/>
      </c>
      <c r="E193" s="29">
        <f>IFERROR(VLOOKUP($C193,'Test Cases'!$A:$G,7,FALSE),"")</f>
        <v/>
      </c>
      <c r="F193" s="30">
        <f>IFERROR(VLOOKUP($C193,'Test Cases'!$A:$I,9,FALSE),"")</f>
        <v/>
      </c>
      <c r="G193" s="29">
        <f>IFERROR(VLOOKUP($C193,'Test Cases'!$A:$K,11,FALSE),"")</f>
        <v/>
      </c>
      <c r="H193" s="24" t="inlineStr"/>
      <c r="I193" s="24" t="inlineStr">
        <is>
          <t>Open</t>
        </is>
      </c>
      <c r="J193" s="24" t="inlineStr"/>
      <c r="K193" s="25" t="inlineStr"/>
      <c r="L193" s="25" t="inlineStr"/>
      <c r="M193" s="25" t="inlineStr"/>
      <c r="N193" s="25" t="inlineStr"/>
      <c r="O193" s="24" t="inlineStr"/>
      <c r="P193" s="25" t="inlineStr"/>
      <c r="Q193" s="24" t="inlineStr"/>
      <c r="R193" s="24" t="inlineStr"/>
      <c r="S193" s="24" t="inlineStr"/>
      <c r="T193" s="25" t="inlineStr"/>
    </row>
    <row r="194">
      <c r="A194" s="24" t="inlineStr"/>
      <c r="B194" s="24" t="inlineStr"/>
      <c r="C194" s="23" t="inlineStr"/>
      <c r="D194" s="29">
        <f>IFERROR(VLOOKUP($C194,'Test Cases'!$A:$H,8,FALSE),"")</f>
        <v/>
      </c>
      <c r="E194" s="29">
        <f>IFERROR(VLOOKUP($C194,'Test Cases'!$A:$G,7,FALSE),"")</f>
        <v/>
      </c>
      <c r="F194" s="30">
        <f>IFERROR(VLOOKUP($C194,'Test Cases'!$A:$I,9,FALSE),"")</f>
        <v/>
      </c>
      <c r="G194" s="29">
        <f>IFERROR(VLOOKUP($C194,'Test Cases'!$A:$K,11,FALSE),"")</f>
        <v/>
      </c>
      <c r="H194" s="24" t="inlineStr"/>
      <c r="I194" s="24" t="inlineStr">
        <is>
          <t>Open</t>
        </is>
      </c>
      <c r="J194" s="24" t="inlineStr"/>
      <c r="K194" s="25" t="inlineStr"/>
      <c r="L194" s="25" t="inlineStr"/>
      <c r="M194" s="25" t="inlineStr"/>
      <c r="N194" s="25" t="inlineStr"/>
      <c r="O194" s="24" t="inlineStr"/>
      <c r="P194" s="25" t="inlineStr"/>
      <c r="Q194" s="24" t="inlineStr"/>
      <c r="R194" s="24" t="inlineStr"/>
      <c r="S194" s="24" t="inlineStr"/>
      <c r="T194" s="25" t="inlineStr"/>
    </row>
    <row r="195">
      <c r="A195" s="24" t="inlineStr"/>
      <c r="B195" s="24" t="inlineStr"/>
      <c r="C195" s="23" t="inlineStr"/>
      <c r="D195" s="29">
        <f>IFERROR(VLOOKUP($C195,'Test Cases'!$A:$H,8,FALSE),"")</f>
        <v/>
      </c>
      <c r="E195" s="29">
        <f>IFERROR(VLOOKUP($C195,'Test Cases'!$A:$G,7,FALSE),"")</f>
        <v/>
      </c>
      <c r="F195" s="30">
        <f>IFERROR(VLOOKUP($C195,'Test Cases'!$A:$I,9,FALSE),"")</f>
        <v/>
      </c>
      <c r="G195" s="29">
        <f>IFERROR(VLOOKUP($C195,'Test Cases'!$A:$K,11,FALSE),"")</f>
        <v/>
      </c>
      <c r="H195" s="24" t="inlineStr"/>
      <c r="I195" s="24" t="inlineStr">
        <is>
          <t>Open</t>
        </is>
      </c>
      <c r="J195" s="24" t="inlineStr"/>
      <c r="K195" s="25" t="inlineStr"/>
      <c r="L195" s="25" t="inlineStr"/>
      <c r="M195" s="25" t="inlineStr"/>
      <c r="N195" s="25" t="inlineStr"/>
      <c r="O195" s="24" t="inlineStr"/>
      <c r="P195" s="25" t="inlineStr"/>
      <c r="Q195" s="24" t="inlineStr"/>
      <c r="R195" s="24" t="inlineStr"/>
      <c r="S195" s="24" t="inlineStr"/>
      <c r="T195" s="25" t="inlineStr"/>
    </row>
    <row r="196">
      <c r="A196" s="24" t="inlineStr"/>
      <c r="B196" s="24" t="inlineStr"/>
      <c r="C196" s="23" t="inlineStr"/>
      <c r="D196" s="29">
        <f>IFERROR(VLOOKUP($C196,'Test Cases'!$A:$H,8,FALSE),"")</f>
        <v/>
      </c>
      <c r="E196" s="29">
        <f>IFERROR(VLOOKUP($C196,'Test Cases'!$A:$G,7,FALSE),"")</f>
        <v/>
      </c>
      <c r="F196" s="30">
        <f>IFERROR(VLOOKUP($C196,'Test Cases'!$A:$I,9,FALSE),"")</f>
        <v/>
      </c>
      <c r="G196" s="29">
        <f>IFERROR(VLOOKUP($C196,'Test Cases'!$A:$K,11,FALSE),"")</f>
        <v/>
      </c>
      <c r="H196" s="24" t="inlineStr"/>
      <c r="I196" s="24" t="inlineStr">
        <is>
          <t>Open</t>
        </is>
      </c>
      <c r="J196" s="24" t="inlineStr"/>
      <c r="K196" s="25" t="inlineStr"/>
      <c r="L196" s="25" t="inlineStr"/>
      <c r="M196" s="25" t="inlineStr"/>
      <c r="N196" s="25" t="inlineStr"/>
      <c r="O196" s="24" t="inlineStr"/>
      <c r="P196" s="25" t="inlineStr"/>
      <c r="Q196" s="24" t="inlineStr"/>
      <c r="R196" s="24" t="inlineStr"/>
      <c r="S196" s="24" t="inlineStr"/>
      <c r="T196" s="25" t="inlineStr"/>
    </row>
    <row r="197">
      <c r="A197" s="24" t="inlineStr"/>
      <c r="B197" s="24" t="inlineStr"/>
      <c r="C197" s="23" t="inlineStr"/>
      <c r="D197" s="29">
        <f>IFERROR(VLOOKUP($C197,'Test Cases'!$A:$H,8,FALSE),"")</f>
        <v/>
      </c>
      <c r="E197" s="29">
        <f>IFERROR(VLOOKUP($C197,'Test Cases'!$A:$G,7,FALSE),"")</f>
        <v/>
      </c>
      <c r="F197" s="30">
        <f>IFERROR(VLOOKUP($C197,'Test Cases'!$A:$I,9,FALSE),"")</f>
        <v/>
      </c>
      <c r="G197" s="29">
        <f>IFERROR(VLOOKUP($C197,'Test Cases'!$A:$K,11,FALSE),"")</f>
        <v/>
      </c>
      <c r="H197" s="24" t="inlineStr"/>
      <c r="I197" s="24" t="inlineStr">
        <is>
          <t>Open</t>
        </is>
      </c>
      <c r="J197" s="24" t="inlineStr"/>
      <c r="K197" s="25" t="inlineStr"/>
      <c r="L197" s="25" t="inlineStr"/>
      <c r="M197" s="25" t="inlineStr"/>
      <c r="N197" s="25" t="inlineStr"/>
      <c r="O197" s="24" t="inlineStr"/>
      <c r="P197" s="25" t="inlineStr"/>
      <c r="Q197" s="24" t="inlineStr"/>
      <c r="R197" s="24" t="inlineStr"/>
      <c r="S197" s="24" t="inlineStr"/>
      <c r="T197" s="25" t="inlineStr"/>
    </row>
    <row r="198">
      <c r="A198" s="24" t="inlineStr"/>
      <c r="B198" s="24" t="inlineStr"/>
      <c r="C198" s="23" t="inlineStr"/>
      <c r="D198" s="29">
        <f>IFERROR(VLOOKUP($C198,'Test Cases'!$A:$H,8,FALSE),"")</f>
        <v/>
      </c>
      <c r="E198" s="29">
        <f>IFERROR(VLOOKUP($C198,'Test Cases'!$A:$G,7,FALSE),"")</f>
        <v/>
      </c>
      <c r="F198" s="30">
        <f>IFERROR(VLOOKUP($C198,'Test Cases'!$A:$I,9,FALSE),"")</f>
        <v/>
      </c>
      <c r="G198" s="29">
        <f>IFERROR(VLOOKUP($C198,'Test Cases'!$A:$K,11,FALSE),"")</f>
        <v/>
      </c>
      <c r="H198" s="24" t="inlineStr"/>
      <c r="I198" s="24" t="inlineStr">
        <is>
          <t>Open</t>
        </is>
      </c>
      <c r="J198" s="24" t="inlineStr"/>
      <c r="K198" s="25" t="inlineStr"/>
      <c r="L198" s="25" t="inlineStr"/>
      <c r="M198" s="25" t="inlineStr"/>
      <c r="N198" s="25" t="inlineStr"/>
      <c r="O198" s="24" t="inlineStr"/>
      <c r="P198" s="25" t="inlineStr"/>
      <c r="Q198" s="24" t="inlineStr"/>
      <c r="R198" s="24" t="inlineStr"/>
      <c r="S198" s="24" t="inlineStr"/>
      <c r="T198" s="25" t="inlineStr"/>
    </row>
    <row r="199">
      <c r="A199" s="24" t="inlineStr"/>
      <c r="B199" s="24" t="inlineStr"/>
      <c r="C199" s="23" t="inlineStr"/>
      <c r="D199" s="29">
        <f>IFERROR(VLOOKUP($C199,'Test Cases'!$A:$H,8,FALSE),"")</f>
        <v/>
      </c>
      <c r="E199" s="29">
        <f>IFERROR(VLOOKUP($C199,'Test Cases'!$A:$G,7,FALSE),"")</f>
        <v/>
      </c>
      <c r="F199" s="30">
        <f>IFERROR(VLOOKUP($C199,'Test Cases'!$A:$I,9,FALSE),"")</f>
        <v/>
      </c>
      <c r="G199" s="29">
        <f>IFERROR(VLOOKUP($C199,'Test Cases'!$A:$K,11,FALSE),"")</f>
        <v/>
      </c>
      <c r="H199" s="24" t="inlineStr"/>
      <c r="I199" s="24" t="inlineStr">
        <is>
          <t>Open</t>
        </is>
      </c>
      <c r="J199" s="24" t="inlineStr"/>
      <c r="K199" s="25" t="inlineStr"/>
      <c r="L199" s="25" t="inlineStr"/>
      <c r="M199" s="25" t="inlineStr"/>
      <c r="N199" s="25" t="inlineStr"/>
      <c r="O199" s="24" t="inlineStr"/>
      <c r="P199" s="25" t="inlineStr"/>
      <c r="Q199" s="24" t="inlineStr"/>
      <c r="R199" s="24" t="inlineStr"/>
      <c r="S199" s="24" t="inlineStr"/>
      <c r="T199" s="25" t="inlineStr"/>
    </row>
    <row r="200">
      <c r="A200" s="24" t="inlineStr"/>
      <c r="B200" s="24" t="inlineStr"/>
      <c r="C200" s="23" t="inlineStr"/>
      <c r="D200" s="29">
        <f>IFERROR(VLOOKUP($C200,'Test Cases'!$A:$H,8,FALSE),"")</f>
        <v/>
      </c>
      <c r="E200" s="29">
        <f>IFERROR(VLOOKUP($C200,'Test Cases'!$A:$G,7,FALSE),"")</f>
        <v/>
      </c>
      <c r="F200" s="30">
        <f>IFERROR(VLOOKUP($C200,'Test Cases'!$A:$I,9,FALSE),"")</f>
        <v/>
      </c>
      <c r="G200" s="29">
        <f>IFERROR(VLOOKUP($C200,'Test Cases'!$A:$K,11,FALSE),"")</f>
        <v/>
      </c>
      <c r="H200" s="24" t="inlineStr"/>
      <c r="I200" s="24" t="inlineStr">
        <is>
          <t>Open</t>
        </is>
      </c>
      <c r="J200" s="24" t="inlineStr"/>
      <c r="K200" s="25" t="inlineStr"/>
      <c r="L200" s="25" t="inlineStr"/>
      <c r="M200" s="25" t="inlineStr"/>
      <c r="N200" s="25" t="inlineStr"/>
      <c r="O200" s="24" t="inlineStr"/>
      <c r="P200" s="25" t="inlineStr"/>
      <c r="Q200" s="24" t="inlineStr"/>
      <c r="R200" s="24" t="inlineStr"/>
      <c r="S200" s="24" t="inlineStr"/>
      <c r="T200" s="25" t="inlineStr"/>
    </row>
    <row r="201">
      <c r="A201" s="24" t="inlineStr"/>
      <c r="B201" s="24" t="inlineStr"/>
      <c r="C201" s="23" t="inlineStr"/>
      <c r="D201" s="29">
        <f>IFERROR(VLOOKUP($C201,'Test Cases'!$A:$H,8,FALSE),"")</f>
        <v/>
      </c>
      <c r="E201" s="29">
        <f>IFERROR(VLOOKUP($C201,'Test Cases'!$A:$G,7,FALSE),"")</f>
        <v/>
      </c>
      <c r="F201" s="30">
        <f>IFERROR(VLOOKUP($C201,'Test Cases'!$A:$I,9,FALSE),"")</f>
        <v/>
      </c>
      <c r="G201" s="29">
        <f>IFERROR(VLOOKUP($C201,'Test Cases'!$A:$K,11,FALSE),"")</f>
        <v/>
      </c>
      <c r="H201" s="24" t="inlineStr"/>
      <c r="I201" s="24" t="inlineStr">
        <is>
          <t>Open</t>
        </is>
      </c>
      <c r="J201" s="24" t="inlineStr"/>
      <c r="K201" s="25" t="inlineStr"/>
      <c r="L201" s="25" t="inlineStr"/>
      <c r="M201" s="25" t="inlineStr"/>
      <c r="N201" s="25" t="inlineStr"/>
      <c r="O201" s="24" t="inlineStr"/>
      <c r="P201" s="25" t="inlineStr"/>
      <c r="Q201" s="24" t="inlineStr"/>
      <c r="R201" s="24" t="inlineStr"/>
      <c r="S201" s="24" t="inlineStr"/>
      <c r="T201" s="25" t="inlineStr"/>
    </row>
  </sheetData>
  <autoFilter ref="A1:T201"/>
  <conditionalFormatting sqref="A2:T201">
    <cfRule type="expression" priority="1" dxfId="0">
      <formula>$H2="Release Blocker"</formula>
    </cfRule>
  </conditionalFormatting>
  <conditionalFormatting sqref="I2:I201">
    <cfRule type="cellIs" priority="2" operator="equal" dxfId="13">
      <formula>"Verified"</formula>
    </cfRule>
  </conditionalFormatting>
  <dataValidations count="3">
    <dataValidation sqref="C2:C201" showDropDown="0" showInputMessage="0" showErrorMessage="0" allowBlank="1" errorTitle="Unknown test case" error="Pick a Test Case ID that exists on the Test Cases sheet." type="list">
      <formula1>='Test Cases'!$A$2:$A$89</formula1>
    </dataValidation>
    <dataValidation sqref="H2:H201" showDropDown="0" showInputMessage="0" showErrorMessage="0" allowBlank="1" type="list">
      <formula1>=Lists!$D$2:$D$6</formula1>
    </dataValidation>
    <dataValidation sqref="I2:I201" showDropDown="0" showInputMessage="0" showErrorMessage="0" allowBlank="1" type="list">
      <formula1>=Lists!$E$2:$E$7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8"/>
  <sheetViews>
    <sheetView showGridLines="0" workbookViewId="0">
      <pane ySplit="4" topLeftCell="A5" activePane="bottomLeft" state="frozen"/>
      <selection pane="bottomLeft" activeCell="A1" sqref="A1"/>
    </sheetView>
  </sheetViews>
  <sheetFormatPr baseColWidth="8" defaultRowHeight="15"/>
  <cols>
    <col width="15" customWidth="1" min="1" max="1"/>
    <col width="9" customWidth="1" min="2" max="2"/>
    <col width="30" customWidth="1" min="3" max="3"/>
    <col width="50" customWidth="1" min="4" max="4"/>
    <col width="52" customWidth="1" min="5" max="5"/>
    <col width="20" customWidth="1" min="6" max="6"/>
    <col width="40" customWidth="1" min="7" max="7"/>
    <col width="32" customWidth="1" min="8" max="8"/>
    <col width="74" customWidth="1" min="9" max="9"/>
    <col width="62" customWidth="1" min="10" max="10"/>
    <col width="44" customWidth="1" min="11" max="11"/>
    <col width="12" customWidth="1" min="12" max="12"/>
  </cols>
  <sheetData>
    <row r="1">
      <c r="A1" s="1" t="inlineStr">
        <is>
          <t>End-User Tests</t>
        </is>
      </c>
    </row>
    <row r="2">
      <c r="A2" s="2" t="inlineStr">
        <is>
          <t>Everything a tester performs, IN THE CURRENT SCOPE — the mobile app and pendant are excluded. "Both" cases are listed here too: you run them, but an engineer has to confirm the result on the server before they can be marked Pass.</t>
        </is>
      </c>
    </row>
    <row r="4" ht="30" customHeight="1">
      <c r="A4" s="22" t="inlineStr">
        <is>
          <t>TC ID</t>
        </is>
      </c>
      <c r="B4" s="22" t="inlineStr">
        <is>
          <t>Priority</t>
        </is>
      </c>
      <c r="C4" s="22" t="inlineStr">
        <is>
          <t>Category</t>
        </is>
      </c>
      <c r="D4" s="22" t="inlineStr">
        <is>
          <t>Test Case Title</t>
        </is>
      </c>
      <c r="E4" s="22" t="inlineStr">
        <is>
          <t>Scope Note</t>
        </is>
      </c>
      <c r="F4" s="22" t="inlineStr">
        <is>
          <t>Blocked By</t>
        </is>
      </c>
      <c r="G4" s="33" t="inlineStr">
        <is>
          <t>Preconditions</t>
        </is>
      </c>
      <c r="H4" s="33" t="inlineStr">
        <is>
          <t>Test Data / Environment</t>
        </is>
      </c>
      <c r="I4" s="33" t="inlineStr">
        <is>
          <t>Test Steps</t>
        </is>
      </c>
      <c r="J4" s="33" t="inlineStr">
        <is>
          <t>Expected Result (what the tester should see)</t>
        </is>
      </c>
      <c r="K4" s="33" t="inlineStr">
        <is>
          <t>Pass Criteria</t>
        </is>
      </c>
      <c r="L4" s="33" t="inlineStr">
        <is>
          <t>Status</t>
        </is>
      </c>
    </row>
    <row r="5">
      <c r="A5" s="23" t="inlineStr">
        <is>
          <t>SATE-E2E-001</t>
        </is>
      </c>
      <c r="B5" s="9" t="inlineStr">
        <is>
          <t>P0</t>
        </is>
      </c>
      <c r="C5" s="25" t="inlineStr">
        <is>
          <t>End-to-End Recording and Sync</t>
        </is>
      </c>
      <c r="D5" s="25" t="inlineStr">
        <is>
          <t>Standard online recording, upload, processing, review, and PDF export</t>
        </is>
      </c>
      <c r="E5" s="25" t="inlineStr"/>
      <c r="F5" s="24" t="inlineStr">
        <is>
          <t>RQ-20</t>
        </is>
      </c>
      <c r="G5" s="25" t="inlineStr">
        <is>
          <t>Test user is active; recorder is assigned to the user; stable Internet is available; backend services are healthy; no existing test session uses the planned test label.</t>
        </is>
      </c>
      <c r="H5" s="34" t="inlineStr">
        <is>
          <t>5-minute normal speech recording; stable Wi-Fi; supported browser.</t>
        </is>
      </c>
      <c r="I5" s="34" t="inlineStr">
        <is>
          <t>1. Start a new recording.
2. Speak the unique session label at the beginning and end.
3. Stop and save the recording.
4. Wait for upload and processing to complete.
5. Open the session in the Web App.
6. Review transcript and annotations.
7. Export the SATE report as PDF.</t>
        </is>
      </c>
      <c r="J5" s="34" t="inlineStr">
        <is>
          <t>Recorder shows clear Recording, Saved, Uploading, Processing, and Completed states. The Web App shows the correct session, audio, transcript, annotations, and report controls. PDF opens successfully.</t>
        </is>
      </c>
      <c r="K5" s="34" t="inlineStr">
        <is>
          <t>All steps complete without manual recovery; no data loss, duplication, mis-association, or unhandled error occurs.</t>
        </is>
      </c>
      <c r="L5" s="35">
        <f>IFERROR(VLOOKUP($A5,'Test Cases'!$A:$X,24,FALSE),"")</f>
        <v/>
      </c>
    </row>
    <row r="6">
      <c r="A6" s="23" t="inlineStr">
        <is>
          <t>SATE-E2E-005</t>
        </is>
      </c>
      <c r="B6" s="9" t="inlineStr">
        <is>
          <t>P0</t>
        </is>
      </c>
      <c r="C6" s="25" t="inlineStr">
        <is>
          <t>End-to-End Recording and Sync</t>
        </is>
      </c>
      <c r="D6" s="25" t="inlineStr">
        <is>
          <t>Session metadata, timestamp, time-zone, and device association</t>
        </is>
      </c>
      <c r="E6" s="25" t="inlineStr"/>
      <c r="F6" s="24" t="inlineStr"/>
      <c r="G6" s="25" t="inlineStr">
        <is>
          <t>Recorder and phone clocks are set correctly; test account and device assignment are known.</t>
        </is>
      </c>
      <c r="H6" s="34" t="inlineStr">
        <is>
          <t>One 2-minute session created near a known clock time; record local time zone.</t>
        </is>
      </c>
      <c r="I6" s="34" t="inlineStr">
        <is>
          <t>1. Note user, recorder ID, local start time, and end time.
2. Record and sync a session.
3. Compare metadata in device UI, database, Web App, and PDF.
4. Refresh and reopen the session.</t>
        </is>
      </c>
      <c r="J6" s="34" t="inlineStr">
        <is>
          <t>User name/ID, device, date, time, duration, and session label are consistent and displayed in the intended time zone.</t>
        </is>
      </c>
      <c r="K6" s="34" t="inlineStr">
        <is>
          <t>No incorrect user/device association, unexplained time shift, or material duration discrepancy is present.</t>
        </is>
      </c>
      <c r="L6" s="35">
        <f>IFERROR(VLOOKUP($A6,'Test Cases'!$A:$X,24,FALSE),"")</f>
        <v/>
      </c>
    </row>
    <row r="7">
      <c r="A7" s="23" t="inlineStr">
        <is>
          <t>SATE-E2E-006</t>
        </is>
      </c>
      <c r="B7" s="9" t="inlineStr">
        <is>
          <t>P0</t>
        </is>
      </c>
      <c r="C7" s="25" t="inlineStr">
        <is>
          <t>End-to-End Recording and Sync</t>
        </is>
      </c>
      <c r="D7" s="25" t="inlineStr">
        <is>
          <t>Repeated Stop, Save, Upload, or Submit actions</t>
        </is>
      </c>
      <c r="E7" s="25" t="inlineStr">
        <is>
          <t>Repeat Stop / Save / Upload on the recorder only. Skip the app's Submit control.</t>
        </is>
      </c>
      <c r="F7" s="24" t="inlineStr">
        <is>
          <t>RQ-21</t>
        </is>
      </c>
      <c r="G7" s="25" t="inlineStr">
        <is>
          <t>Normal recording is in progress; tester can tap controls rapidly.</t>
        </is>
      </c>
      <c r="H7" s="34" t="inlineStr">
        <is>
          <t>2-minute recording; stable network.</t>
        </is>
      </c>
      <c r="I7" s="34" t="inlineStr">
        <is>
          <t>1. End the recording.
2. Rapidly tap Stop/Save several times.
3. If an Upload or Retry control appears, tap it repeatedly.
4. Wait for completion.
5. Inspect session list and backend records.</t>
        </is>
      </c>
      <c r="J7" s="34" t="inlineStr">
        <is>
          <t>Controls become disabled or requests are safely deduplicated. The user sees only one session.</t>
        </is>
      </c>
      <c r="K7" s="34" t="inlineStr">
        <is>
          <t>Repeated actions never create duplicate user-visible sessions, duplicate reports, or conflicting final states.</t>
        </is>
      </c>
      <c r="L7" s="35">
        <f>IFERROR(VLOOKUP($A7,'Test Cases'!$A:$X,24,FALSE),"")</f>
        <v/>
      </c>
    </row>
    <row r="8">
      <c r="A8" s="23" t="inlineStr">
        <is>
          <t>SATE-LONG-001</t>
        </is>
      </c>
      <c r="B8" s="9" t="inlineStr">
        <is>
          <t>P0</t>
        </is>
      </c>
      <c r="C8" s="25" t="inlineStr">
        <is>
          <t>Long Session and Performance</t>
        </is>
      </c>
      <c r="D8" s="25" t="inlineStr">
        <is>
          <t>Recording at the 30-minute boundary</t>
        </is>
      </c>
      <c r="E8" s="25" t="inlineStr"/>
      <c r="F8" s="24" t="inlineStr">
        <is>
          <t>RQ-07, RQ-20</t>
        </is>
      </c>
      <c r="G8" s="25" t="inlineStr">
        <is>
          <t>Device is fully charged with sufficient storage and stable network.</t>
        </is>
      </c>
      <c r="H8" s="34" t="inlineStr">
        <is>
          <t>Exactly 30-minute session with beginning, midpoint, and end markers.</t>
        </is>
      </c>
      <c r="I8" s="34" t="inlineStr">
        <is>
          <t>1. Record exactly 30 minutes.
2. Stop and sync.
3. Wait for processing.
4. Review audio, transcript, annotations, and PDF.</t>
        </is>
      </c>
      <c r="J8" s="34" t="inlineStr">
        <is>
          <t>No timeout, crash, or unexplained warning occurs at the boundary. Progress remains responsive.</t>
        </is>
      </c>
      <c r="K8" s="34" t="inlineStr">
        <is>
          <t>The complete 30-minute session is preserved, processed, reviewed, and exported successfully.</t>
        </is>
      </c>
      <c r="L8" s="35">
        <f>IFERROR(VLOOKUP($A8,'Test Cases'!$A:$X,24,FALSE),"")</f>
        <v/>
      </c>
    </row>
    <row r="9">
      <c r="A9" s="23" t="inlineStr">
        <is>
          <t>SATE-LONG-002</t>
        </is>
      </c>
      <c r="B9" s="9" t="inlineStr">
        <is>
          <t>P0</t>
        </is>
      </c>
      <c r="C9" s="25" t="inlineStr">
        <is>
          <t>Long Session and Performance</t>
        </is>
      </c>
      <c r="D9" s="25" t="inlineStr">
        <is>
          <t>Forty-five-minute recording</t>
        </is>
      </c>
      <c r="E9" s="25" t="inlineStr"/>
      <c r="F9" s="24" t="inlineStr">
        <is>
          <t>RQ-07, RQ-20</t>
        </is>
      </c>
      <c r="G9" s="25" t="inlineStr">
        <is>
          <t>Battery, storage, and network are sufficient.</t>
        </is>
      </c>
      <c r="H9" s="34" t="inlineStr">
        <is>
          <t>45-minute recording with markers every 10 minutes.</t>
        </is>
      </c>
      <c r="I9" s="34" t="inlineStr">
        <is>
          <t>1. Record 45 minutes.
2. Stop and sync.
3. Monitor upload and processing time.
4. Review all markers in audio/transcript.
5. Export PDF.</t>
        </is>
      </c>
      <c r="J9" s="34" t="inlineStr">
        <is>
          <t>Device/app remains responsive. The Web App can load and navigate the long transcript.</t>
        </is>
      </c>
      <c r="K9" s="34" t="inlineStr">
        <is>
          <t>All content is complete and usable with no resource-related failure.</t>
        </is>
      </c>
      <c r="L9" s="35">
        <f>IFERROR(VLOOKUP($A9,'Test Cases'!$A:$X,24,FALSE),"")</f>
        <v/>
      </c>
    </row>
    <row r="10">
      <c r="A10" s="23" t="inlineStr">
        <is>
          <t>SATE-LONG-003</t>
        </is>
      </c>
      <c r="B10" s="9" t="inlineStr">
        <is>
          <t>P0</t>
        </is>
      </c>
      <c r="C10" s="25" t="inlineStr">
        <is>
          <t>Long Session and Performance</t>
        </is>
      </c>
      <c r="D10" s="25" t="inlineStr">
        <is>
          <t>Maximum supported recording duration</t>
        </is>
      </c>
      <c r="E10" s="25" t="inlineStr"/>
      <c r="F10" s="24" t="inlineStr">
        <is>
          <t>RQ-07, RQ-20</t>
        </is>
      </c>
      <c r="G10" s="25" t="inlineStr">
        <is>
          <t>Maximum duration is confirmed by product/engineering.</t>
        </is>
      </c>
      <c r="H10" s="34" t="inlineStr">
        <is>
          <t>Session at the maximum duration and, if safe, an attempt to exceed it.</t>
        </is>
      </c>
      <c r="I10" s="34" t="inlineStr">
        <is>
          <t>1. Record until the maximum duration.
2. Observe warning or automatic stop behavior.
3. Attempt to continue if allowed.
4. Sync and review.</t>
        </is>
      </c>
      <c r="J10" s="34" t="inlineStr">
        <is>
          <t>The recorder warns before the limit and safely stops or blocks additional recording according to requirement.</t>
        </is>
      </c>
      <c r="K10" s="34" t="inlineStr">
        <is>
          <t>Maximum-duration behavior is predictable, safe, and fully documented.</t>
        </is>
      </c>
      <c r="L10" s="35">
        <f>IFERROR(VLOOKUP($A10,'Test Cases'!$A:$X,24,FALSE),"")</f>
        <v/>
      </c>
    </row>
    <row r="11">
      <c r="A11" s="23" t="inlineStr">
        <is>
          <t>SATE-LONG-004</t>
        </is>
      </c>
      <c r="B11" s="9" t="inlineStr">
        <is>
          <t>P0</t>
        </is>
      </c>
      <c r="C11" s="25" t="inlineStr">
        <is>
          <t>Long Session and Performance</t>
        </is>
      </c>
      <c r="D11" s="25" t="inlineStr">
        <is>
          <t>Long-session upload interrupted and resumed</t>
        </is>
      </c>
      <c r="E11" s="25" t="inlineStr">
        <is>
          <t>Run the recorder's direct Wi-Fi upload path.</t>
        </is>
      </c>
      <c r="F11" s="24" t="inlineStr">
        <is>
          <t>RQ-09, RQ-20</t>
        </is>
      </c>
      <c r="G11" s="25" t="inlineStr">
        <is>
          <t>A 45-60 minute session is saved and upload begins.</t>
        </is>
      </c>
      <c r="H11" s="34" t="inlineStr">
        <is>
          <t>45-60 minute recording; interrupt transfer around 50%.</t>
        </is>
      </c>
      <c r="I11" s="34" t="inlineStr">
        <is>
          <t>1. Start upload.
2. Disable connectivity mid-transfer.
3. Keep offline for several minutes.
4. Restore connectivity.
5. Wait for completion and processing.</t>
        </is>
      </c>
      <c r="J11" s="34" t="inlineStr">
        <is>
          <t>Progress recovers or restarts according to the documented strategy. The user does not need to re-record.</t>
        </is>
      </c>
      <c r="K11" s="34" t="inlineStr">
        <is>
          <t>The large file completes without corruption, duplication, or permanent Uploading state.</t>
        </is>
      </c>
      <c r="L11" s="35">
        <f>IFERROR(VLOOKUP($A11,'Test Cases'!$A:$X,24,FALSE),"")</f>
        <v/>
      </c>
    </row>
    <row r="12">
      <c r="A12" s="23" t="inlineStr">
        <is>
          <t>SATE-NET-001</t>
        </is>
      </c>
      <c r="B12" s="9" t="inlineStr">
        <is>
          <t>P0</t>
        </is>
      </c>
      <c r="C12" s="25" t="inlineStr">
        <is>
          <t>Network, Offline, and Upload Recovery</t>
        </is>
      </c>
      <c r="D12" s="25" t="inlineStr">
        <is>
          <t>Recording starts and ends while fully offline</t>
        </is>
      </c>
      <c r="E12" s="25" t="inlineStr"/>
      <c r="F12" s="24" t="inlineStr"/>
      <c r="G12" s="25" t="inlineStr">
        <is>
          <t>Wi-Fi is disabled or unavailable before the session starts.</t>
        </is>
      </c>
      <c r="H12" s="34" t="inlineStr">
        <is>
          <t>5-minute recording; restore Internet after the session is saved.</t>
        </is>
      </c>
      <c r="I12" s="34" t="inlineStr">
        <is>
          <t>1. Disable connectivity.
2. Record and stop a session.
3. Confirm local Pending Upload status.
4. Restore Internet.
5. Wait without manually creating a second session.
6. Review the session on the Web App.</t>
        </is>
      </c>
      <c r="J12" s="34" t="inlineStr">
        <is>
          <t>Recording works offline. The session is visibly queued. When Internet returns, upload starts automatically or at the documented trigger.</t>
        </is>
      </c>
      <c r="K12" s="34" t="inlineStr">
        <is>
          <t>Offline recording is preserved and completes automatically after connectivity returns.</t>
        </is>
      </c>
      <c r="L12" s="35">
        <f>IFERROR(VLOOKUP($A12,'Test Cases'!$A:$X,24,FALSE),"")</f>
        <v/>
      </c>
    </row>
    <row r="13">
      <c r="A13" s="23" t="inlineStr">
        <is>
          <t>SATE-NET-002</t>
        </is>
      </c>
      <c r="B13" s="9" t="inlineStr">
        <is>
          <t>P0</t>
        </is>
      </c>
      <c r="C13" s="25" t="inlineStr">
        <is>
          <t>Network, Offline, and Upload Recovery</t>
        </is>
      </c>
      <c r="D13" s="25" t="inlineStr">
        <is>
          <t>Internet connection is lost during recording</t>
        </is>
      </c>
      <c r="E13" s="25" t="inlineStr"/>
      <c r="F13" s="24" t="inlineStr"/>
      <c r="G13" s="25" t="inlineStr">
        <is>
          <t>Recording begins online.</t>
        </is>
      </c>
      <c r="H13" s="34" t="inlineStr">
        <is>
          <t>5-minute session; disable Internet after 1 minute and restore after Stop.</t>
        </is>
      </c>
      <c r="I13" s="34" t="inlineStr">
        <is>
          <t>1. Start online recording.
2. Disable Internet during capture.
3. Continue recording.
4. Stop the session while offline.
5. Restore Internet and wait for completion.</t>
        </is>
      </c>
      <c r="J13" s="34" t="inlineStr">
        <is>
          <t>Recording continues without interruption. The device shows offline/pending status after Stop and later uploads normally.</t>
        </is>
      </c>
      <c r="K13" s="34" t="inlineStr">
        <is>
          <t>No capture gap, crash, duplicate session, or misleading completion status occurs.</t>
        </is>
      </c>
      <c r="L13" s="35">
        <f>IFERROR(VLOOKUP($A13,'Test Cases'!$A:$X,24,FALSE),"")</f>
        <v/>
      </c>
    </row>
    <row r="14">
      <c r="A14" s="23" t="inlineStr">
        <is>
          <t>SATE-NET-003</t>
        </is>
      </c>
      <c r="B14" s="9" t="inlineStr">
        <is>
          <t>P0</t>
        </is>
      </c>
      <c r="C14" s="25" t="inlineStr">
        <is>
          <t>Network, Offline, and Upload Recovery</t>
        </is>
      </c>
      <c r="D14" s="25" t="inlineStr">
        <is>
          <t>Internet is lost after Stop but before upload starts</t>
        </is>
      </c>
      <c r="E14" s="25" t="inlineStr"/>
      <c r="F14" s="24" t="inlineStr"/>
      <c r="G14" s="25" t="inlineStr">
        <is>
          <t>Recording is complete; upload has not yet started.</t>
        </is>
      </c>
      <c r="H14" s="34" t="inlineStr">
        <is>
          <t>3-minute recording.</t>
        </is>
      </c>
      <c r="I14" s="34" t="inlineStr">
        <is>
          <t>1. Stop the recording.
2. Immediately disable Internet.
3. Confirm Pending Upload status.
4. Restore Internet.
5. Observe automatic upload and processing.</t>
        </is>
      </c>
      <c r="J14" s="34" t="inlineStr">
        <is>
          <t>The session remains visible and queued. No repeated user action is required unless explicitly designed.</t>
        </is>
      </c>
      <c r="K14" s="34" t="inlineStr">
        <is>
          <t>The saved session survives the outage and completes once connectivity returns.</t>
        </is>
      </c>
      <c r="L14" s="35">
        <f>IFERROR(VLOOKUP($A14,'Test Cases'!$A:$X,24,FALSE),"")</f>
        <v/>
      </c>
    </row>
    <row r="15">
      <c r="A15" s="23" t="inlineStr">
        <is>
          <t>SATE-NET-004</t>
        </is>
      </c>
      <c r="B15" s="9" t="inlineStr">
        <is>
          <t>P0</t>
        </is>
      </c>
      <c r="C15" s="25" t="inlineStr">
        <is>
          <t>Network, Offline, and Upload Recovery</t>
        </is>
      </c>
      <c r="D15" s="25" t="inlineStr">
        <is>
          <t>Internet drops during an active upload</t>
        </is>
      </c>
      <c r="E15" s="25" t="inlineStr">
        <is>
          <t>Run the recorder's direct Wi-Fi upload path.</t>
        </is>
      </c>
      <c r="F15" s="24" t="inlineStr">
        <is>
          <t>RQ-09</t>
        </is>
      </c>
      <c r="G15" s="25" t="inlineStr">
        <is>
          <t>An upload large enough to interrupt is in progress.</t>
        </is>
      </c>
      <c r="H15" s="34" t="inlineStr">
        <is>
          <t>10-minute or larger session; disable Internet at approximately 40% upload.</t>
        </is>
      </c>
      <c r="I15" s="34" t="inlineStr">
        <is>
          <t>1. Start upload.
2. Disable Internet mid-transfer.
3. Wait for failure detection.
4. Restore Internet.
5. Allow automatic retry/resume.
6. Inspect backend and Web App.</t>
        </is>
      </c>
      <c r="J15" s="34" t="inlineStr">
        <is>
          <t>The session changes to a retryable/pending state and later completes. The UI does not remain permanently stuck at Uploading.</t>
        </is>
      </c>
      <c r="K15" s="34" t="inlineStr">
        <is>
          <t>The final server audio is complete and playable, with exactly one user-visible session and no orphan file that affects later processing.</t>
        </is>
      </c>
      <c r="L15" s="35">
        <f>IFERROR(VLOOKUP($A15,'Test Cases'!$A:$X,24,FALSE),"")</f>
        <v/>
      </c>
    </row>
    <row r="16">
      <c r="A16" s="23" t="inlineStr">
        <is>
          <t>SATE-NET-005</t>
        </is>
      </c>
      <c r="B16" s="9" t="inlineStr">
        <is>
          <t>P0</t>
        </is>
      </c>
      <c r="C16" s="25" t="inlineStr">
        <is>
          <t>Network, Offline, and Upload Recovery</t>
        </is>
      </c>
      <c r="D16" s="25" t="inlineStr">
        <is>
          <t>Connectivity returns while app/device is in background or screen is locked</t>
        </is>
      </c>
      <c r="E16" s="25" t="inlineStr">
        <is>
          <t>Recorder idle or asleep when connectivity returns. Skip phone background / screen-lock.</t>
        </is>
      </c>
      <c r="F16" s="24" t="inlineStr"/>
      <c r="G16" s="25" t="inlineStr">
        <is>
          <t>A session is pending offline; mobile app is backgrounded or phone is locked before Internet returns.</t>
        </is>
      </c>
      <c r="H16" s="34" t="inlineStr">
        <is>
          <t>Pending 5-minute session; supported phone OS.</t>
        </is>
      </c>
      <c r="I16" s="34" t="inlineStr">
        <is>
          <t>1. Create an offline pending session.
2. Background the app or lock the phone.
3. Restore Internet.
4. Wait for the documented background window.
5. Unlock/open the app if necessary.
6. Check completion.</t>
        </is>
      </c>
      <c r="J16" s="34" t="inlineStr">
        <is>
          <t>Upload either starts in the background as designed or begins immediately when the app is reopened. The pending session is not lost.</t>
        </is>
      </c>
      <c r="K16" s="34" t="inlineStr">
        <is>
          <t>Behavior matches the supported background policy and no session remains permanently stranded.</t>
        </is>
      </c>
      <c r="L16" s="35">
        <f>IFERROR(VLOOKUP($A16,'Test Cases'!$A:$X,24,FALSE),"")</f>
        <v/>
      </c>
    </row>
    <row r="17">
      <c r="A17" s="23" t="inlineStr">
        <is>
          <t>SATE-NET-010</t>
        </is>
      </c>
      <c r="B17" s="9" t="inlineStr">
        <is>
          <t>P0</t>
        </is>
      </c>
      <c r="C17" s="25" t="inlineStr">
        <is>
          <t>Network, Offline, and Upload Recovery</t>
        </is>
      </c>
      <c r="D17" s="25" t="inlineStr">
        <is>
          <t>User taps manual Retry while automatic retry is already running</t>
        </is>
      </c>
      <c r="E17" s="25" t="inlineStr">
        <is>
          <t>Use the recorder's retry, or the web app's Retry control.</t>
        </is>
      </c>
      <c r="F17" s="24" t="inlineStr">
        <is>
          <t>RQ-09, RQ-13</t>
        </is>
      </c>
      <c r="G17" s="25" t="inlineStr">
        <is>
          <t>A retryable upload failure is present and automatic retry is scheduled or active.</t>
        </is>
      </c>
      <c r="H17" s="34" t="inlineStr">
        <is>
          <t>5-minute failed/pending session.</t>
        </is>
      </c>
      <c r="I17" s="34" t="inlineStr">
        <is>
          <t>1. Trigger an upload failure.
2. Restore connectivity.
3. Tap Retry repeatedly while automatic retry begins.
4. Wait for final completion.
5. Inspect backend attempts and records.</t>
        </is>
      </c>
      <c r="J17" s="34" t="inlineStr">
        <is>
          <t>Only one active upload is presented to the user. Extra taps are disabled, ignored, or safely deduplicated.</t>
        </is>
      </c>
      <c r="K17" s="34" t="inlineStr">
        <is>
          <t>Manual/automatic retry concurrency never creates a duplicate or corrupt final session.</t>
        </is>
      </c>
      <c r="L17" s="35">
        <f>IFERROR(VLOOKUP($A17,'Test Cases'!$A:$X,24,FALSE),"")</f>
        <v/>
      </c>
    </row>
    <row r="18">
      <c r="A18" s="23" t="inlineStr">
        <is>
          <t>SATE-PDF-001</t>
        </is>
      </c>
      <c r="B18" s="9" t="inlineStr">
        <is>
          <t>P0</t>
        </is>
      </c>
      <c r="C18" s="25" t="inlineStr">
        <is>
          <t>PDF Export</t>
        </is>
      </c>
      <c r="D18" s="25" t="inlineStr">
        <is>
          <t>Standard SATE report export</t>
        </is>
      </c>
      <c r="E18" s="25" t="inlineStr"/>
      <c r="F18" s="24" t="inlineStr"/>
      <c r="G18" s="25" t="inlineStr">
        <is>
          <t>Completed session exists and user has export permission.</t>
        </is>
      </c>
      <c r="H18" s="34" t="inlineStr">
        <is>
          <t>Standard 5-minute session.</t>
        </is>
      </c>
      <c r="I18" s="34" t="inlineStr">
        <is>
          <t>1. Open the session.
2. Select Export PDF.
3. Open the file.
4. Compare report fields to the Web App.</t>
        </is>
      </c>
      <c r="J18" s="34" t="inlineStr">
        <is>
          <t>Export succeeds once; file opens without warning; layout is readable.</t>
        </is>
      </c>
      <c r="K18" s="34" t="inlineStr">
        <is>
          <t>PDF is complete, readable, correctly associated, and free of missing or stale content.</t>
        </is>
      </c>
      <c r="L18" s="35">
        <f>IFERROR(VLOOKUP($A18,'Test Cases'!$A:$X,24,FALSE),"")</f>
        <v/>
      </c>
    </row>
    <row r="19">
      <c r="A19" s="23" t="inlineStr">
        <is>
          <t>SATE-PDF-002</t>
        </is>
      </c>
      <c r="B19" s="9" t="inlineStr">
        <is>
          <t>P0</t>
        </is>
      </c>
      <c r="C19" s="25" t="inlineStr">
        <is>
          <t>PDF Export</t>
        </is>
      </c>
      <c r="D19" s="25" t="inlineStr">
        <is>
          <t>Long-session report pagination</t>
        </is>
      </c>
      <c r="E19" s="25" t="inlineStr"/>
      <c r="F19" s="24" t="inlineStr">
        <is>
          <t>RQ-20</t>
        </is>
      </c>
      <c r="G19" s="25" t="inlineStr">
        <is>
          <t>A completed 45-60 minute session exists.</t>
        </is>
      </c>
      <c r="H19" s="34" t="inlineStr">
        <is>
          <t>Long transcript and large annotation set.</t>
        </is>
      </c>
      <c r="I19" s="34" t="inlineStr">
        <is>
          <t>1. Export PDF.
2. Review every page.
3. Check page breaks, headers, footers, tables, and final page.
4. Search for known beginning/end markers.</t>
        </is>
      </c>
      <c r="J19" s="34" t="inlineStr">
        <is>
          <t>No clipped text, overlapping elements, blank unintended pages, or missing final content appears.</t>
        </is>
      </c>
      <c r="K19" s="34" t="inlineStr">
        <is>
          <t>Long report is complete and professionally paginated.</t>
        </is>
      </c>
      <c r="L19" s="35">
        <f>IFERROR(VLOOKUP($A19,'Test Cases'!$A:$X,24,FALSE),"")</f>
        <v/>
      </c>
    </row>
    <row r="20">
      <c r="A20" s="23" t="inlineStr">
        <is>
          <t>SATE-PDF-004</t>
        </is>
      </c>
      <c r="B20" s="9" t="inlineStr">
        <is>
          <t>P0</t>
        </is>
      </c>
      <c r="C20" s="25" t="inlineStr">
        <is>
          <t>PDF Export</t>
        </is>
      </c>
      <c r="D20" s="25" t="inlineStr">
        <is>
          <t>Re-export after transcript edits</t>
        </is>
      </c>
      <c r="E20" s="25" t="inlineStr"/>
      <c r="F20" s="24" t="inlineStr">
        <is>
          <t>RQ-15</t>
        </is>
      </c>
      <c r="G20" s="25" t="inlineStr">
        <is>
          <t>Transcript editing is enabled; a prior PDF has already been generated.</t>
        </is>
      </c>
      <c r="H20" s="34" t="inlineStr">
        <is>
          <t>One completed session with a known text correction.</t>
        </is>
      </c>
      <c r="I20" s="34" t="inlineStr">
        <is>
          <t>1. Export the original PDF.
2. Edit and save transcript.
3. Export again.
4. Compare both files.</t>
        </is>
      </c>
      <c r="J20" s="34" t="inlineStr">
        <is>
          <t>Second export contains the saved correction and is clearly the current report.</t>
        </is>
      </c>
      <c r="K20" s="34" t="inlineStr">
        <is>
          <t>Re-export never returns a stale report after a successful saved edit.</t>
        </is>
      </c>
      <c r="L20" s="35">
        <f>IFERROR(VLOOKUP($A20,'Test Cases'!$A:$X,24,FALSE),"")</f>
        <v/>
      </c>
    </row>
    <row r="21">
      <c r="A21" s="23" t="inlineStr">
        <is>
          <t>SATE-QUE-001</t>
        </is>
      </c>
      <c r="B21" s="9" t="inlineStr">
        <is>
          <t>P0</t>
        </is>
      </c>
      <c r="C21" s="25" t="inlineStr">
        <is>
          <t>Queue, Batch, and Concurrency</t>
        </is>
      </c>
      <c r="D21" s="25" t="inlineStr">
        <is>
          <t>Five recordings made consecutively while online</t>
        </is>
      </c>
      <c r="E21" s="25" t="inlineStr"/>
      <c r="F21" s="24" t="inlineStr"/>
      <c r="G21" s="25" t="inlineStr">
        <is>
          <t>Stable network; no pending sessions.</t>
        </is>
      </c>
      <c r="H21" s="34" t="inlineStr">
        <is>
          <t>Recordings of 30 sec, 1 min, 2 min, 3 min, and 5 min, each with a unique spoken label.</t>
        </is>
      </c>
      <c r="I21" s="34" t="inlineStr">
        <is>
          <t>1. Create five recordings with less than 20 seconds between sessions.
2. Allow uploads to occur.
3. Review the queue and Web App.
4. Open each transcript.</t>
        </is>
      </c>
      <c r="J21" s="34" t="inlineStr">
        <is>
          <t>All five sessions appear once with correct order, labels, dates, and durations. Starting the next session does not overwrite the previous one.</t>
        </is>
      </c>
      <c r="K21" s="34" t="inlineStr">
        <is>
          <t>All five sessions complete without overwrite, merging, omission, or cross-session transcript assignment.</t>
        </is>
      </c>
      <c r="L21" s="35">
        <f>IFERROR(VLOOKUP($A21,'Test Cases'!$A:$X,24,FALSE),"")</f>
        <v/>
      </c>
    </row>
    <row r="22">
      <c r="A22" s="23" t="inlineStr">
        <is>
          <t>SATE-QUE-002</t>
        </is>
      </c>
      <c r="B22" s="9" t="inlineStr">
        <is>
          <t>P0</t>
        </is>
      </c>
      <c r="C22" s="25" t="inlineStr">
        <is>
          <t>Queue, Batch, and Concurrency</t>
        </is>
      </c>
      <c r="D22" s="25" t="inlineStr">
        <is>
          <t>Start a new recording while the previous session is uploading</t>
        </is>
      </c>
      <c r="E22" s="25" t="inlineStr"/>
      <c r="F22" s="24" t="inlineStr"/>
      <c r="G22" s="25" t="inlineStr">
        <is>
          <t>Session A is uploading; recorder is ready for another action.</t>
        </is>
      </c>
      <c r="H22" s="34" t="inlineStr">
        <is>
          <t>Session A: 10 minutes; Session B: 2 minutes.</t>
        </is>
      </c>
      <c r="I22" s="34" t="inlineStr">
        <is>
          <t>1. Start uploading Session A.
2. Attempt to start Session B.
3. Complete Session B.
4. Wait for both sessions to finish.
5. Review results.</t>
        </is>
      </c>
      <c r="J22" s="34" t="inlineStr">
        <is>
          <t>The UI follows the documented rule: either allows Session B safely or clearly blocks it. If allowed, statuses remain distinct.</t>
        </is>
      </c>
      <c r="K22" s="34" t="inlineStr">
        <is>
          <t>Both sessions are handled correctly according to the documented concurrency requirement.</t>
        </is>
      </c>
      <c r="L22" s="35">
        <f>IFERROR(VLOOKUP($A22,'Test Cases'!$A:$X,24,FALSE),"")</f>
        <v/>
      </c>
    </row>
    <row r="23">
      <c r="A23" s="23" t="inlineStr">
        <is>
          <t>SATE-QUE-003</t>
        </is>
      </c>
      <c r="B23" s="9" t="inlineStr">
        <is>
          <t>P0</t>
        </is>
      </c>
      <c r="C23" s="25" t="inlineStr">
        <is>
          <t>Queue, Batch, and Concurrency</t>
        </is>
      </c>
      <c r="D23" s="25" t="inlineStr">
        <is>
          <t>Five offline recordings queued and uploaded later</t>
        </is>
      </c>
      <c r="E23" s="25" t="inlineStr"/>
      <c r="F23" s="24" t="inlineStr"/>
      <c r="G23" s="25" t="inlineStr">
        <is>
          <t>Device is offline and has sufficient storage.</t>
        </is>
      </c>
      <c r="H23" s="34" t="inlineStr">
        <is>
          <t>Five recordings with unique labels and varying lengths.</t>
        </is>
      </c>
      <c r="I23" s="34" t="inlineStr">
        <is>
          <t>1. Disable Internet.
2. Record five sessions.
3. Restart the recorder/app once while still offline.
4. Confirm all five remain queued.
5. Restore Internet.
6. Wait for all sessions to complete.</t>
        </is>
      </c>
      <c r="J23" s="34" t="inlineStr">
        <is>
          <t>All five queued sessions remain visible after restart and later upload. Progress/status is shown per session.</t>
        </is>
      </c>
      <c r="K23" s="34" t="inlineStr">
        <is>
          <t>No queued session is lost, merged, duplicated, or indefinitely blocked.</t>
        </is>
      </c>
      <c r="L23" s="35">
        <f>IFERROR(VLOOKUP($A23,'Test Cases'!$A:$X,24,FALSE),"")</f>
        <v/>
      </c>
    </row>
    <row r="24">
      <c r="A24" s="23" t="inlineStr">
        <is>
          <t>SATE-QUE-004</t>
        </is>
      </c>
      <c r="B24" s="9" t="inlineStr">
        <is>
          <t>P0</t>
        </is>
      </c>
      <c r="C24" s="25" t="inlineStr">
        <is>
          <t>Queue, Batch, and Concurrency</t>
        </is>
      </c>
      <c r="D24" s="25" t="inlineStr">
        <is>
          <t>One queued session fails while later sessions continue</t>
        </is>
      </c>
      <c r="E24" s="25" t="inlineStr"/>
      <c r="F24" s="24" t="inlineStr">
        <is>
          <t>RQ-11, RQ-13</t>
        </is>
      </c>
      <c r="G24" s="25" t="inlineStr">
        <is>
          <t>At least three sessions are queued; a fault can be injected for Session 2.</t>
        </is>
      </c>
      <c r="H24" s="34" t="inlineStr">
        <is>
          <t>Three queued sessions; cause Session 2 upload or processing to fail.</t>
        </is>
      </c>
      <c r="I24" s="34" t="inlineStr">
        <is>
          <t>1. Queue Sessions 1-3.
2. Inject a failure for Session 2.
3. Restore normal service.
4. Observe Sessions 1 and 3.
5. Retry Session 2.</t>
        </is>
      </c>
      <c r="J24" s="34" t="inlineStr">
        <is>
          <t>Each session shows its own status. Failure of Session 2 does not hide or freeze Sessions 1 and 3.</t>
        </is>
      </c>
      <c r="K24" s="34" t="inlineStr">
        <is>
          <t>Queue processing is fault-isolated and recoverable.</t>
        </is>
      </c>
      <c r="L24" s="35">
        <f>IFERROR(VLOOKUP($A24,'Test Cases'!$A:$X,24,FALSE),"")</f>
        <v/>
      </c>
    </row>
    <row r="25">
      <c r="A25" s="23" t="inlineStr">
        <is>
          <t>SATE-QUE-005</t>
        </is>
      </c>
      <c r="B25" s="9" t="inlineStr">
        <is>
          <t>P0</t>
        </is>
      </c>
      <c r="C25" s="25" t="inlineStr">
        <is>
          <t>Queue, Batch, and Concurrency</t>
        </is>
      </c>
      <c r="D25" s="25" t="inlineStr">
        <is>
          <t>Queue order and status persist across app/recorder restart</t>
        </is>
      </c>
      <c r="E25" s="25" t="inlineStr">
        <is>
          <t>Restart the recorder, not the app.</t>
        </is>
      </c>
      <c r="F25" s="24" t="inlineStr"/>
      <c r="G25" s="25" t="inlineStr">
        <is>
          <t>Several sessions are Pending, Uploading, and Failed/Retryable.</t>
        </is>
      </c>
      <c r="H25" s="34" t="inlineStr">
        <is>
          <t>Three or more sessions in different queue states.</t>
        </is>
      </c>
      <c r="I25" s="34" t="inlineStr">
        <is>
          <t>1. Create mixed queue states.
2. Restart the recorder/app.
3. Inspect order and statuses.
4. Restore connectivity/service.
5. Observe resumption.</t>
        </is>
      </c>
      <c r="J25" s="34" t="inlineStr">
        <is>
          <t>All queue entries reappear with correct identities and understandable statuses.</t>
        </is>
      </c>
      <c r="K25" s="34" t="inlineStr">
        <is>
          <t>Restart does not alter session identity, lose queue entries, or create duplicate uploads.</t>
        </is>
      </c>
      <c r="L25" s="35">
        <f>IFERROR(VLOOKUP($A25,'Test Cases'!$A:$X,24,FALSE),"")</f>
        <v/>
      </c>
    </row>
    <row r="26">
      <c r="A26" s="23" t="inlineStr">
        <is>
          <t>SATE-REC-001</t>
        </is>
      </c>
      <c r="B26" s="9" t="inlineStr">
        <is>
          <t>P0</t>
        </is>
      </c>
      <c r="C26" s="25" t="inlineStr">
        <is>
          <t>Recorder Interruption and Local Persistence</t>
        </is>
      </c>
      <c r="D26" s="25" t="inlineStr">
        <is>
          <t>Graceful recorder restart during an active recording</t>
        </is>
      </c>
      <c r="E26" s="25" t="inlineStr"/>
      <c r="F26" s="24" t="inlineStr">
        <is>
          <t>RQ-06</t>
        </is>
      </c>
      <c r="G26" s="25" t="inlineStr">
        <is>
          <t>Recorder battery and storage are sufficient; a session is actively recording.</t>
        </is>
      </c>
      <c r="H26" s="34" t="inlineStr">
        <is>
          <t>5-minute intended recording; restart after approximately 2 minutes.</t>
        </is>
      </c>
      <c r="I26" s="34" t="inlineStr">
        <is>
          <t>1. Start recording and speak a beginning marker.
2. After two minutes, perform a normal device restart.
3. Restart the recorder.
4. Inspect recovered/pending sessions.
5. Sync any recovered partial session.</t>
        </is>
      </c>
      <c r="J26" s="34" t="inlineStr">
        <is>
          <t>The recorder clearly identifies the interrupted session. Recommended behavior: preserve the recorded portion and label it Interrupted; do not silently discard it.</t>
        </is>
      </c>
      <c r="K26" s="34" t="inlineStr">
        <is>
          <t>Captured audio is preserved or intentionally rejected according to a documented rule, and the user receives an explicit status.</t>
        </is>
      </c>
      <c r="L26" s="35">
        <f>IFERROR(VLOOKUP($A26,'Test Cases'!$A:$X,24,FALSE),"")</f>
        <v/>
      </c>
    </row>
    <row r="27">
      <c r="A27" s="23" t="inlineStr">
        <is>
          <t>SATE-REC-002</t>
        </is>
      </c>
      <c r="B27" s="9" t="inlineStr">
        <is>
          <t>P0</t>
        </is>
      </c>
      <c r="C27" s="25" t="inlineStr">
        <is>
          <t>Recorder Interruption and Local Persistence</t>
        </is>
      </c>
      <c r="D27" s="25" t="inlineStr">
        <is>
          <t>Forced power loss during an active recording</t>
        </is>
      </c>
      <c r="E27" s="25" t="inlineStr"/>
      <c r="F27" s="24" t="inlineStr">
        <is>
          <t>RQ-06</t>
        </is>
      </c>
      <c r="G27" s="25" t="inlineStr">
        <is>
          <t>Recorder is actively recording; tester can disconnect power or force shutdown safely.</t>
        </is>
      </c>
      <c r="H27" s="34" t="inlineStr">
        <is>
          <t>5-minute intended recording; forced shutdown after approximately 2 minutes.</t>
        </is>
      </c>
      <c r="I27" s="34" t="inlineStr">
        <is>
          <t>1. Start recording and speak a beginning marker.
2. Force power loss without using the normal stop control.
3. Restore power.
4. Inspect recovered data and device messages.
5. Sync any recoverable session.</t>
        </is>
      </c>
      <c r="J27" s="34" t="inlineStr">
        <is>
          <t>The recorder reports an interrupted or recovered session rather than showing a completed recording. It must not claim success if the audio is corrupted.</t>
        </is>
      </c>
      <c r="K27" s="34" t="inlineStr">
        <is>
          <t>No silent data loss, false Completed state, or duplicate session occurs.</t>
        </is>
      </c>
      <c r="L27" s="35">
        <f>IFERROR(VLOOKUP($A27,'Test Cases'!$A:$X,24,FALSE),"")</f>
        <v/>
      </c>
    </row>
    <row r="28">
      <c r="A28" s="23" t="inlineStr">
        <is>
          <t>SATE-REC-003</t>
        </is>
      </c>
      <c r="B28" s="9" t="inlineStr">
        <is>
          <t>P0</t>
        </is>
      </c>
      <c r="C28" s="25" t="inlineStr">
        <is>
          <t>Recorder Interruption and Local Persistence</t>
        </is>
      </c>
      <c r="D28" s="25" t="inlineStr">
        <is>
          <t>Low-battery shutdown during recording</t>
        </is>
      </c>
      <c r="E28" s="25" t="inlineStr"/>
      <c r="F28" s="24" t="inlineStr">
        <is>
          <t>RQ-06, RQ-20</t>
        </is>
      </c>
      <c r="G28" s="25" t="inlineStr">
        <is>
          <t>Recorder battery can be reduced to the low-battery threshold.</t>
        </is>
      </c>
      <c r="H28" s="34" t="inlineStr">
        <is>
          <t>Recording continues until low-battery warning and shutdown.</t>
        </is>
      </c>
      <c r="I28" s="34" t="inlineStr">
        <is>
          <t>1. Begin a recording with low remaining battery.
2. Continue until warning appears.
3. Observe whether recording stops automatically or the device shuts down.
4. Recharge and restart.
5. Inspect and sync the session.</t>
        </is>
      </c>
      <c r="J28" s="34" t="inlineStr">
        <is>
          <t>A warning appears early enough for action. Recommended behavior: safely stop and save before shutdown when possible.</t>
        </is>
      </c>
      <c r="K28" s="34" t="inlineStr">
        <is>
          <t>Audio captured before shutdown is handled according to the documented low-battery rule with no false success.</t>
        </is>
      </c>
      <c r="L28" s="35">
        <f>IFERROR(VLOOKUP($A28,'Test Cases'!$A:$X,24,FALSE),"")</f>
        <v/>
      </c>
    </row>
    <row r="29">
      <c r="A29" s="23" t="inlineStr">
        <is>
          <t>SATE-REC-004</t>
        </is>
      </c>
      <c r="B29" s="9" t="inlineStr">
        <is>
          <t>P0</t>
        </is>
      </c>
      <c r="C29" s="25" t="inlineStr">
        <is>
          <t>Recorder Interruption and Local Persistence</t>
        </is>
      </c>
      <c r="D29" s="25" t="inlineStr">
        <is>
          <t>Insufficient local storage before recording starts</t>
        </is>
      </c>
      <c r="E29" s="25" t="inlineStr"/>
      <c r="F29" s="24" t="inlineStr">
        <is>
          <t>RQ-07</t>
        </is>
      </c>
      <c r="G29" s="25" t="inlineStr">
        <is>
          <t>Local storage is below the defined minimum free-space threshold.</t>
        </is>
      </c>
      <c r="H29" s="34" t="inlineStr">
        <is>
          <t>Recorder with intentionally reduced free storage.</t>
        </is>
      </c>
      <c r="I29" s="34" t="inlineStr">
        <is>
          <t>1. Attempt to start a recording.
2. Observe the message and controls.
3. Free sufficient storage.
4. Retry recording.</t>
        </is>
      </c>
      <c r="J29" s="34" t="inlineStr">
        <is>
          <t>The recorder blocks recording or clearly warns the user before capture begins. After space is freed, normal recording is available.</t>
        </is>
      </c>
      <c r="K29" s="34" t="inlineStr">
        <is>
          <t>The user cannot unknowingly begin a recording that the device cannot preserve.</t>
        </is>
      </c>
      <c r="L29" s="35">
        <f>IFERROR(VLOOKUP($A29,'Test Cases'!$A:$X,24,FALSE),"")</f>
        <v/>
      </c>
    </row>
    <row r="30">
      <c r="A30" s="23" t="inlineStr">
        <is>
          <t>SATE-REC-005</t>
        </is>
      </c>
      <c r="B30" s="9" t="inlineStr">
        <is>
          <t>P0</t>
        </is>
      </c>
      <c r="C30" s="25" t="inlineStr">
        <is>
          <t>Recorder Interruption and Local Persistence</t>
        </is>
      </c>
      <c r="D30" s="25" t="inlineStr">
        <is>
          <t>Local storage becomes full during recording</t>
        </is>
      </c>
      <c r="E30" s="25" t="inlineStr"/>
      <c r="F30" s="24" t="inlineStr">
        <is>
          <t>RQ-06</t>
        </is>
      </c>
      <c r="G30" s="25" t="inlineStr">
        <is>
          <t>Recorder starts with enough space for a short recording but not for the planned duration.</t>
        </is>
      </c>
      <c r="H30" s="34" t="inlineStr">
        <is>
          <t>Continue recording until storage is exhausted.</t>
        </is>
      </c>
      <c r="I30" s="34" t="inlineStr">
        <is>
          <t>1. Start recording.
2. Continue until the storage-full condition occurs.
3. Observe device behavior.
4. Restart if required.
5. Inspect and sync recoverable audio.</t>
        </is>
      </c>
      <c r="J30" s="34" t="inlineStr">
        <is>
          <t>The recorder stops safely and shows a specific storage error. It must not continue displaying Recording after writes have failed.</t>
        </is>
      </c>
      <c r="K30" s="34" t="inlineStr">
        <is>
          <t>The condition is detected, communicated, and handled without silent corruption or false completion.</t>
        </is>
      </c>
      <c r="L30" s="35">
        <f>IFERROR(VLOOKUP($A30,'Test Cases'!$A:$X,24,FALSE),"")</f>
        <v/>
      </c>
    </row>
    <row r="31">
      <c r="A31" s="23" t="inlineStr">
        <is>
          <t>SATE-REC-006</t>
        </is>
      </c>
      <c r="B31" s="9" t="inlineStr">
        <is>
          <t>P0</t>
        </is>
      </c>
      <c r="C31" s="25" t="inlineStr">
        <is>
          <t>Recorder Interruption and Local Persistence</t>
        </is>
      </c>
      <c r="D31" s="25" t="inlineStr">
        <is>
          <t>Restart during the local save/finalization step</t>
        </is>
      </c>
      <c r="E31" s="25" t="inlineStr"/>
      <c r="F31" s="24" t="inlineStr">
        <is>
          <t>RQ-06</t>
        </is>
      </c>
      <c r="G31" s="25" t="inlineStr">
        <is>
          <t>A recording is ready to stop; tester can restart immediately after Stop.</t>
        </is>
      </c>
      <c r="H31" s="34" t="inlineStr">
        <is>
          <t>5-minute recording.</t>
        </is>
      </c>
      <c r="I31" s="34" t="inlineStr">
        <is>
          <t>1. Record five minutes.
2. Press Stop.
3. Restart the recorder while Save/Finalizing is displayed.
4. Restart and inspect session/queue state.
5. Allow synchronization.</t>
        </is>
      </c>
      <c r="J31" s="34" t="inlineStr">
        <is>
          <t>After restart, the session is either safely recovered and queued once or clearly marked failed. The UI must not show two copies.</t>
        </is>
      </c>
      <c r="K31" s="34" t="inlineStr">
        <is>
          <t>No duplicate session, orphan temporary file affecting storage, or silent loss occurs.</t>
        </is>
      </c>
      <c r="L31" s="35">
        <f>IFERROR(VLOOKUP($A31,'Test Cases'!$A:$X,24,FALSE),"")</f>
        <v/>
      </c>
    </row>
    <row r="32">
      <c r="A32" s="23" t="inlineStr">
        <is>
          <t>SATE-REC-007</t>
        </is>
      </c>
      <c r="B32" s="9" t="inlineStr">
        <is>
          <t>P0</t>
        </is>
      </c>
      <c r="C32" s="25" t="inlineStr">
        <is>
          <t>Recorder Interruption and Local Persistence</t>
        </is>
      </c>
      <c r="D32" s="25" t="inlineStr">
        <is>
          <t>Restart after recording stops but before upload begins</t>
        </is>
      </c>
      <c r="E32" s="25" t="inlineStr"/>
      <c r="F32" s="24" t="inlineStr"/>
      <c r="G32" s="25" t="inlineStr">
        <is>
          <t>Recording has stopped and is locally saved; network upload has not begun.</t>
        </is>
      </c>
      <c r="H32" s="34" t="inlineStr">
        <is>
          <t>3-minute recording.</t>
        </is>
      </c>
      <c r="I32" s="34" t="inlineStr">
        <is>
          <t>1. Record and stop the session.
2. Restart immediately before upload starts.
3. Reconnect to network.
4. Observe queue recovery and final result.</t>
        </is>
      </c>
      <c r="J32" s="34" t="inlineStr">
        <is>
          <t>The pending session reappears after restart and uploads automatically or through the documented resume action.</t>
        </is>
      </c>
      <c r="K32" s="34" t="inlineStr">
        <is>
          <t>The pending session survives restart and completes without user re-recording.</t>
        </is>
      </c>
      <c r="L32" s="35">
        <f>IFERROR(VLOOKUP($A32,'Test Cases'!$A:$X,24,FALSE),"")</f>
        <v/>
      </c>
    </row>
    <row r="33">
      <c r="A33" s="23" t="inlineStr">
        <is>
          <t>SATE-SEC-001</t>
        </is>
      </c>
      <c r="B33" s="9" t="inlineStr">
        <is>
          <t>P0</t>
        </is>
      </c>
      <c r="C33" s="25" t="inlineStr">
        <is>
          <t>Security, Privacy, and Data Isolation</t>
        </is>
      </c>
      <c r="D33" s="25" t="inlineStr">
        <is>
          <t>User A cannot view User B's session through normal navigation</t>
        </is>
      </c>
      <c r="E33" s="25" t="inlineStr"/>
      <c r="F33" s="24" t="inlineStr"/>
      <c r="G33" s="25" t="inlineStr">
        <is>
          <t>User A and User B each have completed sessions.</t>
        </is>
      </c>
      <c r="H33" s="34" t="inlineStr">
        <is>
          <t>Two non-admin accounts with distinct data.</t>
        </is>
      </c>
      <c r="I33" s="34" t="inlineStr">
        <is>
          <t>1. Log in as User A.
2. Review session list and search/filter.
3. Confirm User B's session is absent.
4. Repeat as User B.</t>
        </is>
      </c>
      <c r="J33" s="34" t="inlineStr">
        <is>
          <t>Each user sees only authorized sessions.</t>
        </is>
      </c>
      <c r="K33" s="34" t="inlineStr">
        <is>
          <t>No unauthorized metadata, transcript, annotation, audio, or report is exposed.</t>
        </is>
      </c>
      <c r="L33" s="35">
        <f>IFERROR(VLOOKUP($A33,'Test Cases'!$A:$X,24,FALSE),"")</f>
        <v/>
      </c>
    </row>
    <row r="34">
      <c r="A34" s="23" t="inlineStr">
        <is>
          <t>SATE-SEC-002</t>
        </is>
      </c>
      <c r="B34" s="9" t="inlineStr">
        <is>
          <t>P0</t>
        </is>
      </c>
      <c r="C34" s="25" t="inlineStr">
        <is>
          <t>Security, Privacy, and Data Isolation</t>
        </is>
      </c>
      <c r="D34" s="25" t="inlineStr">
        <is>
          <t>Direct URL or session-ID manipulation</t>
        </is>
      </c>
      <c r="E34" s="25" t="inlineStr"/>
      <c r="F34" s="24" t="inlineStr"/>
      <c r="G34" s="25" t="inlineStr">
        <is>
          <t>User A knows or is given User B's test session ID.</t>
        </is>
      </c>
      <c r="H34" s="34" t="inlineStr">
        <is>
          <t>Two user accounts and one unauthorized session ID.</t>
        </is>
      </c>
      <c r="I34" s="34" t="inlineStr">
        <is>
          <t>1. Log in as User A.
2. Replace URL/API session ID with User B's ID.
3. Attempt transcript, audio, annotation, and PDF access.</t>
        </is>
      </c>
      <c r="J34" s="34" t="inlineStr">
        <is>
          <t>UI returns an authorized Not Found/Access Denied response without revealing sensitive metadata.</t>
        </is>
      </c>
      <c r="K34" s="34" t="inlineStr">
        <is>
          <t>No protected content or existence-sensitive detail is disclosed.</t>
        </is>
      </c>
      <c r="L34" s="35">
        <f>IFERROR(VLOOKUP($A34,'Test Cases'!$A:$X,24,FALSE),"")</f>
        <v/>
      </c>
    </row>
    <row r="35">
      <c r="A35" s="23" t="inlineStr">
        <is>
          <t>SATE-SEC-003</t>
        </is>
      </c>
      <c r="B35" s="9" t="inlineStr">
        <is>
          <t>P0</t>
        </is>
      </c>
      <c r="C35" s="25" t="inlineStr">
        <is>
          <t>Security, Privacy, and Data Isolation</t>
        </is>
      </c>
      <c r="D35" s="25" t="inlineStr">
        <is>
          <t>Logout and token invalidation</t>
        </is>
      </c>
      <c r="E35" s="25" t="inlineStr">
        <is>
          <t>Web app logout and token invalidation only. Skip mobile app logout.</t>
        </is>
      </c>
      <c r="F35" s="24" t="inlineStr"/>
      <c r="G35" s="25" t="inlineStr">
        <is>
          <t>User is logged in with an open transcript and active API token.</t>
        </is>
      </c>
      <c r="H35" s="34" t="inlineStr">
        <is>
          <t>One authorized session.</t>
        </is>
      </c>
      <c r="I35" s="34" t="inlineStr">
        <is>
          <t>1. Open transcript/audio.
2. Log out.
3. Use browser Back, refresh, saved API request, and prior audio/report URL.
4. Attempt access from another tab.</t>
        </is>
      </c>
      <c r="J35" s="34" t="inlineStr">
        <is>
          <t>Protected pages redirect to login or deny access. Cached sensitive content is not newly retrievable.</t>
        </is>
      </c>
      <c r="K35" s="34" t="inlineStr">
        <is>
          <t>Logout prevents further protected access according to policy.</t>
        </is>
      </c>
      <c r="L35" s="35">
        <f>IFERROR(VLOOKUP($A35,'Test Cases'!$A:$X,24,FALSE),"")</f>
        <v/>
      </c>
    </row>
    <row r="36">
      <c r="A36" s="23" t="inlineStr">
        <is>
          <t>SATE-SEC-005</t>
        </is>
      </c>
      <c r="B36" s="9" t="inlineStr">
        <is>
          <t>P0</t>
        </is>
      </c>
      <c r="C36" s="25" t="inlineStr">
        <is>
          <t>Security, Privacy, and Data Isolation</t>
        </is>
      </c>
      <c r="D36" s="25" t="inlineStr">
        <is>
          <t>Role-based access to review, edit, export, retry, and administration</t>
        </is>
      </c>
      <c r="E36" s="25" t="inlineStr"/>
      <c r="F36" s="24" t="inlineStr"/>
      <c r="G36" s="25" t="inlineStr">
        <is>
          <t>Test accounts exist for Viewer, Clinician/Editor, and Admin or the actual SATE roles.</t>
        </is>
      </c>
      <c r="H36" s="34" t="inlineStr">
        <is>
          <t>One completed and one failed session.</t>
        </is>
      </c>
      <c r="I36" s="34" t="inlineStr">
        <is>
          <t>1. Log in as each role.
2. Attempt view, audio playback, edit, export, retry/reprocess, and administrative actions.
3. Attempt direct API calls for hidden actions.</t>
        </is>
      </c>
      <c r="J36" s="34" t="inlineStr">
        <is>
          <t>UI shows only permitted actions; forbidden actions are disabled or absent.</t>
        </is>
      </c>
      <c r="K36" s="34" t="inlineStr">
        <is>
          <t>Every action matches the approved role matrix with no client-side-only security.</t>
        </is>
      </c>
      <c r="L36" s="35">
        <f>IFERROR(VLOOKUP($A36,'Test Cases'!$A:$X,24,FALSE),"")</f>
        <v/>
      </c>
    </row>
    <row r="37">
      <c r="A37" s="23" t="inlineStr">
        <is>
          <t>SATE-SEC-006</t>
        </is>
      </c>
      <c r="B37" s="9" t="inlineStr">
        <is>
          <t>P0</t>
        </is>
      </c>
      <c r="C37" s="25" t="inlineStr">
        <is>
          <t>Security, Privacy, and Data Isolation</t>
        </is>
      </c>
      <c r="D37" s="25" t="inlineStr">
        <is>
          <t>Signed audio/report URL expiry and sharing</t>
        </is>
      </c>
      <c r="E37" s="25" t="inlineStr"/>
      <c r="F37" s="24" t="inlineStr"/>
      <c r="G37" s="25" t="inlineStr">
        <is>
          <t>System uses signed/temporary URLs or equivalent protected access.</t>
        </is>
      </c>
      <c r="H37" s="34" t="inlineStr">
        <is>
          <t>One audio URL and one PDF URL.</t>
        </is>
      </c>
      <c r="I37" s="34" t="inlineStr">
        <is>
          <t>1. Obtain authorized URLs.
2. Test before expiry.
3. Test in a logged-out/private browser.
4. Test after expiry.
5. Request a new authorized URL.</t>
        </is>
      </c>
      <c r="J37" s="34" t="inlineStr">
        <is>
          <t>Access follows policy; expired or unauthorized links fail cleanly.</t>
        </is>
      </c>
      <c r="K37" s="34" t="inlineStr">
        <is>
          <t>Protected media and reports are not indefinitely accessible through copied links.</t>
        </is>
      </c>
      <c r="L37" s="35">
        <f>IFERROR(VLOOKUP($A37,'Test Cases'!$A:$X,24,FALSE),"")</f>
        <v/>
      </c>
    </row>
    <row r="38">
      <c r="A38" s="23" t="inlineStr">
        <is>
          <t>SATE-WEB-001</t>
        </is>
      </c>
      <c r="B38" s="9" t="inlineStr">
        <is>
          <t>P0</t>
        </is>
      </c>
      <c r="C38" s="25" t="inlineStr">
        <is>
          <t>Web Transcript Review</t>
        </is>
      </c>
      <c r="D38" s="25" t="inlineStr">
        <is>
          <t>Open and review a completed transcript</t>
        </is>
      </c>
      <c r="E38" s="25" t="inlineStr"/>
      <c r="F38" s="24" t="inlineStr">
        <is>
          <t>RQ-15</t>
        </is>
      </c>
      <c r="G38" s="25" t="inlineStr">
        <is>
          <t>A completed session exists and the user has access.</t>
        </is>
      </c>
      <c r="H38" s="34" t="inlineStr">
        <is>
          <t>Standard 5-minute completed session.</t>
        </is>
      </c>
      <c r="I38" s="34" t="inlineStr">
        <is>
          <t>1. Log in.
2. Open session list.
3. Select the session.
4. Review metadata, audio, transcript, and annotations.
5. Refresh the page.</t>
        </is>
      </c>
      <c r="J38" s="34" t="inlineStr">
        <is>
          <t>Content loads completely; labels are understandable; refresh retains the same session and data.</t>
        </is>
      </c>
      <c r="K38" s="34" t="inlineStr">
        <is>
          <t>The correct complete session is reviewable without missing, stale, or mismatched content.</t>
        </is>
      </c>
      <c r="L38" s="35">
        <f>IFERROR(VLOOKUP($A38,'Test Cases'!$A:$X,24,FALSE),"")</f>
        <v/>
      </c>
    </row>
    <row r="39">
      <c r="A39" s="23" t="inlineStr">
        <is>
          <t>SATE-WEB-002</t>
        </is>
      </c>
      <c r="B39" s="9" t="inlineStr">
        <is>
          <t>P0</t>
        </is>
      </c>
      <c r="C39" s="25" t="inlineStr">
        <is>
          <t>Web Transcript Review</t>
        </is>
      </c>
      <c r="D39" s="25" t="inlineStr">
        <is>
          <t>Display of Processing, Retryable Failure, and Final Failure states</t>
        </is>
      </c>
      <c r="E39" s="25" t="inlineStr"/>
      <c r="F39" s="24" t="inlineStr">
        <is>
          <t>RQ-13</t>
        </is>
      </c>
      <c r="G39" s="25" t="inlineStr">
        <is>
          <t>Create sessions in Processing, Retryable Failure, and Final Failure.</t>
        </is>
      </c>
      <c r="H39" s="34" t="inlineStr">
        <is>
          <t>Three controlled sessions.</t>
        </is>
      </c>
      <c r="I39" s="34" t="inlineStr">
        <is>
          <t>1. Open each session.
2. Observe messages and available actions.
3. Refresh after status changes.</t>
        </is>
      </c>
      <c r="J39" s="34" t="inlineStr">
        <is>
          <t>Each state has a distinct explanation and only appropriate actions. No page appears empty or permanently loading without context.</t>
        </is>
      </c>
      <c r="K39" s="34" t="inlineStr">
        <is>
          <t>Users can distinguish processing from failure and know whether to wait or retry.</t>
        </is>
      </c>
      <c r="L39" s="35">
        <f>IFERROR(VLOOKUP($A39,'Test Cases'!$A:$X,24,FALSE),"")</f>
        <v/>
      </c>
    </row>
    <row r="40">
      <c r="A40" s="23" t="inlineStr">
        <is>
          <t>SATE-WEB-004</t>
        </is>
      </c>
      <c r="B40" s="9" t="inlineStr">
        <is>
          <t>P0</t>
        </is>
      </c>
      <c r="C40" s="25" t="inlineStr">
        <is>
          <t>Web Transcript Review</t>
        </is>
      </c>
      <c r="D40" s="25" t="inlineStr">
        <is>
          <t>Audio playback and transcript association</t>
        </is>
      </c>
      <c r="E40" s="25" t="inlineStr"/>
      <c r="F40" s="24" t="inlineStr">
        <is>
          <t>RQ-15</t>
        </is>
      </c>
      <c r="G40" s="25" t="inlineStr">
        <is>
          <t>Completed sessions A and B contain distinct spoken labels.</t>
        </is>
      </c>
      <c r="H40" s="34" t="inlineStr">
        <is>
          <t>Two completed sessions.</t>
        </is>
      </c>
      <c r="I40" s="34" t="inlineStr">
        <is>
          <t>1. Open Session A and play beginning/end.
2. Open Session B and play beginning/end.
3. Seek, pause, resume, and reload.
4. Compare to transcripts.</t>
        </is>
      </c>
      <c r="J40" s="34" t="inlineStr">
        <is>
          <t>Audio controls work and each session plays its own audio. Errors are explained.</t>
        </is>
      </c>
      <c r="K40" s="34" t="inlineStr">
        <is>
          <t>No wrong-audio association, broken seeking, or unauthorized cross-session playback occurs.</t>
        </is>
      </c>
      <c r="L40" s="35">
        <f>IFERROR(VLOOKUP($A40,'Test Cases'!$A:$X,24,FALSE),"")</f>
        <v/>
      </c>
    </row>
    <row r="41">
      <c r="A41" s="23" t="inlineStr">
        <is>
          <t>SATE-WEB-005</t>
        </is>
      </c>
      <c r="B41" s="9" t="inlineStr">
        <is>
          <t>P0</t>
        </is>
      </c>
      <c r="C41" s="25" t="inlineStr">
        <is>
          <t>Web Transcript Review</t>
        </is>
      </c>
      <c r="D41" s="25" t="inlineStr">
        <is>
          <t>Edit and save transcript with versioning</t>
        </is>
      </c>
      <c r="E41" s="25" t="inlineStr"/>
      <c r="F41" s="24" t="inlineStr">
        <is>
          <t>RQ-15</t>
        </is>
      </c>
      <c r="G41" s="25" t="inlineStr">
        <is>
          <t>Transcript editing is enabled and user has edit permission.</t>
        </is>
      </c>
      <c r="H41" s="34" t="inlineStr">
        <is>
          <t>Completed session with known correction points.</t>
        </is>
      </c>
      <c r="I41" s="34" t="inlineStr">
        <is>
          <t>1. Edit several transcript segments.
2. Save.
3. Refresh and reopen.
4. Export PDF.
5. Review audit/version information.</t>
        </is>
      </c>
      <c r="J41" s="34" t="inlineStr">
        <is>
          <t>Edits persist and are visually distinguishable from unsaved changes. PDF uses the approved latest version.</t>
        </is>
      </c>
      <c r="K41" s="34" t="inlineStr">
        <is>
          <t>Edits are durable, auditable, and cannot accidentally overwrite the wrong session.</t>
        </is>
      </c>
      <c r="L41" s="35">
        <f>IFERROR(VLOOKUP($A41,'Test Cases'!$A:$X,24,FALSE),"")</f>
        <v/>
      </c>
    </row>
    <row r="42">
      <c r="A42" s="23" t="inlineStr">
        <is>
          <t>SATE-WEB-006</t>
        </is>
      </c>
      <c r="B42" s="9" t="inlineStr">
        <is>
          <t>P0</t>
        </is>
      </c>
      <c r="C42" s="25" t="inlineStr">
        <is>
          <t>Web Transcript Review</t>
        </is>
      </c>
      <c r="D42" s="25" t="inlineStr">
        <is>
          <t>Save failure and concurrent transcript editing</t>
        </is>
      </c>
      <c r="E42" s="25" t="inlineStr"/>
      <c r="F42" s="24" t="inlineStr">
        <is>
          <t>RQ-15</t>
        </is>
      </c>
      <c r="G42" s="25" t="inlineStr">
        <is>
          <t>Two authorized browser sessions can open the same transcript; DB failure can be simulated.</t>
        </is>
      </c>
      <c r="H42" s="34" t="inlineStr">
        <is>
          <t>Session with editable transcript.</t>
        </is>
      </c>
      <c r="I42" s="34" t="inlineStr">
        <is>
          <t>1. Open the transcript in two browsers.
2. Make different edits.
3. Save Browser A.
4. Save Browser B or inject save failure.
5. Refresh both.</t>
        </is>
      </c>
      <c r="J42" s="34" t="inlineStr">
        <is>
          <t>Save failure is explicit and unsaved text is not falsely shown as saved. Concurrent conflict follows the documented policy.</t>
        </is>
      </c>
      <c r="K42" s="34" t="inlineStr">
        <is>
          <t>No silent overwrite, wrong-session save, or false success occurs.</t>
        </is>
      </c>
      <c r="L42" s="35">
        <f>IFERROR(VLOOKUP($A42,'Test Cases'!$A:$X,24,FALSE),"")</f>
        <v/>
      </c>
    </row>
    <row r="43">
      <c r="A43" s="23" t="inlineStr">
        <is>
          <t>SATE-COMP-002</t>
        </is>
      </c>
      <c r="B43" s="9" t="inlineStr">
        <is>
          <t>P1</t>
        </is>
      </c>
      <c r="C43" s="25" t="inlineStr">
        <is>
          <t>Compatibility and Deployment</t>
        </is>
      </c>
      <c r="D43" s="25" t="inlineStr">
        <is>
          <t>Supported desktop browsers for Web App and PDF</t>
        </is>
      </c>
      <c r="E43" s="25" t="inlineStr"/>
      <c r="F43" s="24" t="inlineStr"/>
      <c r="G43" s="25" t="inlineStr">
        <is>
          <t>Supported browser/version list is approved.</t>
        </is>
      </c>
      <c r="H43" s="34" t="inlineStr">
        <is>
          <t>Latest supported Chrome, Edge, and Safari; representative screen sizes.</t>
        </is>
      </c>
      <c r="I43" s="34" t="inlineStr">
        <is>
          <t>1. Log in on each browser.
2. Open session list and transcript.
3. Play audio.
4. Edit/save if supported.
5. Export/open PDF.</t>
        </is>
      </c>
      <c r="J43" s="34" t="inlineStr">
        <is>
          <t>Layout, controls, audio, editing, and PDF work without browser-specific corruption.</t>
        </is>
      </c>
      <c r="K43" s="34" t="inlineStr">
        <is>
          <t>All supported browsers complete the approved workflow without data integrity defects.</t>
        </is>
      </c>
      <c r="L43" s="35">
        <f>IFERROR(VLOOKUP($A43,'Test Cases'!$A:$X,24,FALSE),"")</f>
        <v/>
      </c>
    </row>
    <row r="44">
      <c r="A44" s="23" t="inlineStr">
        <is>
          <t>SATE-COMP-003</t>
        </is>
      </c>
      <c r="B44" s="9" t="inlineStr">
        <is>
          <t>P1</t>
        </is>
      </c>
      <c r="C44" s="25" t="inlineStr">
        <is>
          <t>Compatibility and Deployment</t>
        </is>
      </c>
      <c r="D44" s="25" t="inlineStr">
        <is>
          <t>Older app/firmware version against current backend</t>
        </is>
      </c>
      <c r="E44" s="25" t="inlineStr">
        <is>
          <t>Older recorder firmware against the current backend. Skip the older app build.</t>
        </is>
      </c>
      <c r="F44" s="24" t="inlineStr"/>
      <c r="G44" s="25" t="inlineStr">
        <is>
          <t>One older supported build and one intentionally unsupported build are available.</t>
        </is>
      </c>
      <c r="H44" s="34" t="inlineStr">
        <is>
          <t>Older recorder firmware/mobile app test devices.</t>
        </is>
      </c>
      <c r="I44" s="34" t="inlineStr">
        <is>
          <t>1. Connect the older supported version and run a session.
2. Attempt the same with an unsupported version.
3. Observe upgrade messaging and backend handling.</t>
        </is>
      </c>
      <c r="J44" s="34" t="inlineStr">
        <is>
          <t>Supported older version works as documented. Unsupported version is blocked or warned before data loss occurs.</t>
        </is>
      </c>
      <c r="K44" s="34" t="inlineStr">
        <is>
          <t>Version compatibility follows the release policy with no silent corruption.</t>
        </is>
      </c>
      <c r="L44" s="35">
        <f>IFERROR(VLOOKUP($A44,'Test Cases'!$A:$X,24,FALSE),"")</f>
        <v/>
      </c>
    </row>
    <row r="45">
      <c r="A45" s="23" t="inlineStr">
        <is>
          <t>SATE-COMP-004</t>
        </is>
      </c>
      <c r="B45" s="9" t="inlineStr">
        <is>
          <t>P1</t>
        </is>
      </c>
      <c r="C45" s="25" t="inlineStr">
        <is>
          <t>Compatibility and Deployment</t>
        </is>
      </c>
      <c r="D45" s="25" t="inlineStr">
        <is>
          <t>Time zone, daylight-saving transition, and device clock skew</t>
        </is>
      </c>
      <c r="E45" s="25" t="inlineStr">
        <is>
          <t>Recorder clock and stored timestamps. Skip phone clock skew.</t>
        </is>
      </c>
      <c r="F45" s="24" t="inlineStr"/>
      <c r="G45" s="25" t="inlineStr">
        <is>
          <t>Test environment can change time zone/clock or use simulated timestamps.</t>
        </is>
      </c>
      <c r="H45" s="34" t="inlineStr">
        <is>
          <t>Sessions across two time zones; one device clock intentionally skewed; DST boundary simulation if practical.</t>
        </is>
      </c>
      <c r="I45" s="34" t="inlineStr">
        <is>
          <t>1. Record sessions in each time setting.
2. Sync and review Web App/PDF timestamps.
3. Correct device clock and repeat.
4. Compare ordering and duration.</t>
        </is>
      </c>
      <c r="J45" s="34" t="inlineStr">
        <is>
          <t>Displayed local time follows product rules; warning appears for severe clock skew if supported; duration remains correct.</t>
        </is>
      </c>
      <c r="K45" s="34" t="inlineStr">
        <is>
          <t>No unexplained one-hour/day shift, negative duration, or incorrect session ordering occurs.</t>
        </is>
      </c>
      <c r="L45" s="35">
        <f>IFERROR(VLOOKUP($A45,'Test Cases'!$A:$X,24,FALSE),"")</f>
        <v/>
      </c>
    </row>
    <row r="46">
      <c r="A46" s="23" t="inlineStr">
        <is>
          <t>SATE-E2E-002</t>
        </is>
      </c>
      <c r="B46" s="9" t="inlineStr">
        <is>
          <t>P1</t>
        </is>
      </c>
      <c r="C46" s="25" t="inlineStr">
        <is>
          <t>End-to-End Recording and Sync</t>
        </is>
      </c>
      <c r="D46" s="25" t="inlineStr">
        <is>
          <t>Very short recording near the minimum supported duration</t>
        </is>
      </c>
      <c r="E46" s="25" t="inlineStr"/>
      <c r="F46" s="24" t="inlineStr">
        <is>
          <t>RQ-07</t>
        </is>
      </c>
      <c r="G46" s="25" t="inlineStr">
        <is>
          <t>Minimum supported duration is documented or a provisional threshold is agreed for testing.</t>
        </is>
      </c>
      <c r="H46" s="34" t="inlineStr">
        <is>
          <t>10-15 second recording containing one clearly spoken sentence.</t>
        </is>
      </c>
      <c r="I46" s="34" t="inlineStr">
        <is>
          <t>1. Start recording.
2. Record for the minimum supported duration.
3. Stop and sync.
4. Open the result in the Web App.
5. Attempt PDF export if the session completes.</t>
        </is>
      </c>
      <c r="J46" s="34" t="inlineStr">
        <is>
          <t>The recorder either accepts the session or shows a documented minimum-duration message. The Web App does not display an unexplained blank result.</t>
        </is>
      </c>
      <c r="K46" s="34" t="inlineStr">
        <is>
          <t>Behavior matches the documented minimum-duration requirement and leaves the system in a consistent state.</t>
        </is>
      </c>
      <c r="L46" s="35">
        <f>IFERROR(VLOOKUP($A46,'Test Cases'!$A:$X,24,FALSE),"")</f>
        <v/>
      </c>
    </row>
    <row r="47">
      <c r="A47" s="23" t="inlineStr">
        <is>
          <t>SATE-E2E-003</t>
        </is>
      </c>
      <c r="B47" s="9" t="inlineStr">
        <is>
          <t>P1</t>
        </is>
      </c>
      <c r="C47" s="25" t="inlineStr">
        <is>
          <t>End-to-End Recording and Sync</t>
        </is>
      </c>
      <c r="D47" s="25" t="inlineStr">
        <is>
          <t>Silent or near-silent recording</t>
        </is>
      </c>
      <c r="E47" s="25" t="inlineStr"/>
      <c r="F47" s="24" t="inlineStr">
        <is>
          <t>RQ-20</t>
        </is>
      </c>
      <c r="G47" s="25" t="inlineStr">
        <is>
          <t>Backend services are healthy.</t>
        </is>
      </c>
      <c r="H47" s="34" t="inlineStr">
        <is>
          <t>2-minute recording with room tone and no intentional speech.</t>
        </is>
      </c>
      <c r="I47" s="34" t="inlineStr">
        <is>
          <t>1. Record two minutes of silence or near-silence.
2. Stop and sync.
3. Wait for processing.
4. Open the session in the Web App.
5. Review status, transcript, and annotations.</t>
        </is>
      </c>
      <c r="J47" s="34" t="inlineStr">
        <is>
          <t>The session displays a clear outcome such as No Detectable Speech, Low Confidence, or an empty transcript with explanation. It must not remain indefinitely in Processing.</t>
        </is>
      </c>
      <c r="K47" s="34" t="inlineStr">
        <is>
          <t>The system distinguishes valid silent audio from upload/processing failure and provides an actionable status.</t>
        </is>
      </c>
      <c r="L47" s="35">
        <f>IFERROR(VLOOKUP($A47,'Test Cases'!$A:$X,24,FALSE),"")</f>
        <v/>
      </c>
    </row>
    <row r="48">
      <c r="A48" s="23" t="inlineStr">
        <is>
          <t>SATE-E2E-004</t>
        </is>
      </c>
      <c r="B48" s="9" t="inlineStr">
        <is>
          <t>P1</t>
        </is>
      </c>
      <c r="C48" s="25" t="inlineStr">
        <is>
          <t>End-to-End Recording and Sync</t>
        </is>
      </c>
      <c r="D48" s="25" t="inlineStr">
        <is>
          <t>Noisy recording with multiple speakers and interruptions</t>
        </is>
      </c>
      <c r="E48" s="25" t="inlineStr"/>
      <c r="F48" s="24" t="inlineStr">
        <is>
          <t>RQ-20</t>
        </is>
      </c>
      <c r="G48" s="25" t="inlineStr">
        <is>
          <t>Normal end-to-end environment is available.</t>
        </is>
      </c>
      <c r="H48" s="34" t="inlineStr">
        <is>
          <t>5-minute recording with background noise, two speakers, pauses, overlapping speech, and brief interruptions.</t>
        </is>
      </c>
      <c r="I48" s="34" t="inlineStr">
        <is>
          <t>1. Record the prepared noisy scenario.
2. Stop and sync.
3. Review transcript, speaker-related output if supported, annotations, warnings, and PDF.</t>
        </is>
      </c>
      <c r="J48" s="34" t="inlineStr">
        <is>
          <t>The session completes or shows a defined low-quality warning. The UI remains responsive and does not mislabel the result as an upload failure.</t>
        </is>
      </c>
      <c r="K48" s="34" t="inlineStr">
        <is>
          <t>The session reaches a defined terminal state with no crash, malformed data, or cross-session contamination.</t>
        </is>
      </c>
      <c r="L48" s="35">
        <f>IFERROR(VLOOKUP($A48,'Test Cases'!$A:$X,24,FALSE),"")</f>
        <v/>
      </c>
    </row>
    <row r="49">
      <c r="A49" s="23" t="inlineStr">
        <is>
          <t>SATE-LONG-006</t>
        </is>
      </c>
      <c r="B49" s="9" t="inlineStr">
        <is>
          <t>P1</t>
        </is>
      </c>
      <c r="C49" s="25" t="inlineStr">
        <is>
          <t>Long Session and Performance</t>
        </is>
      </c>
      <c r="D49" s="25" t="inlineStr">
        <is>
          <t>Battery, temperature, memory, storage, and processing-time observation</t>
        </is>
      </c>
      <c r="E49" s="25" t="inlineStr">
        <is>
          <t>Recorder battery, temperature, storage and backend processing time. Skip phone metrics.</t>
        </is>
      </c>
      <c r="F49" s="24" t="inlineStr">
        <is>
          <t>RQ-20</t>
        </is>
      </c>
      <c r="G49" s="25" t="inlineStr">
        <is>
          <t>Monitoring tools/logs are available; devices begin at known battery levels.</t>
        </is>
      </c>
      <c r="H49" s="34" t="inlineStr">
        <is>
          <t>45-60 minute recording plus upload and processing.</t>
        </is>
      </c>
      <c r="I49" s="34" t="inlineStr">
        <is>
          <t>1. Record baseline battery, free storage, memory, and temperature.
2. Run a long session.
3. Record metrics during capture, upload, and processing.
4. Note crashes, throttling, or UI lag.</t>
        </is>
      </c>
      <c r="J49" s="34" t="inlineStr">
        <is>
          <t>Device/app remains usable and provides warnings before resource exhaustion.</t>
        </is>
      </c>
      <c r="K49" s="34" t="inlineStr">
        <is>
          <t>Measured resource use stays within approved limits; no crash, unsafe heating, or unbounded job execution occurs.</t>
        </is>
      </c>
      <c r="L49" s="35">
        <f>IFERROR(VLOOKUP($A49,'Test Cases'!$A:$X,24,FALSE),"")</f>
        <v/>
      </c>
    </row>
    <row r="50">
      <c r="A50" s="23" t="inlineStr">
        <is>
          <t>SATE-NET-006</t>
        </is>
      </c>
      <c r="B50" s="9" t="inlineStr">
        <is>
          <t>P1</t>
        </is>
      </c>
      <c r="C50" s="25" t="inlineStr">
        <is>
          <t>Network, Offline, and Upload Recovery</t>
        </is>
      </c>
      <c r="D50" s="25" t="inlineStr">
        <is>
          <t>Wi-Fi is connected but Internet access is unavailable</t>
        </is>
      </c>
      <c r="E50" s="25" t="inlineStr">
        <is>
          <t>Recorder's own network detection only. Skip the app's detection.</t>
        </is>
      </c>
      <c r="F50" s="24" t="inlineStr"/>
      <c r="G50" s="25" t="inlineStr">
        <is>
          <t>Connect to a router with no Internet access.</t>
        </is>
      </c>
      <c r="H50" s="34" t="inlineStr">
        <is>
          <t>3-minute session.</t>
        </is>
      </c>
      <c r="I50" s="34" t="inlineStr">
        <is>
          <t>1. Connect to Wi-Fi without Internet.
2. Record and stop a session.
3. Observe upload status.
4. Restore Internet without changing Wi-Fi if possible.
5. Wait for upload.</t>
        </is>
      </c>
      <c r="J50" s="34" t="inlineStr">
        <is>
          <t>The UI indicates Offline, Cannot Reach Service, or Pending Upload rather than claiming successful upload.</t>
        </is>
      </c>
      <c r="K50" s="34" t="inlineStr">
        <is>
          <t>The system does not confuse Wi-Fi connection with successful synchronization.</t>
        </is>
      </c>
      <c r="L50" s="35">
        <f>IFERROR(VLOOKUP($A50,'Test Cases'!$A:$X,24,FALSE),"")</f>
        <v/>
      </c>
    </row>
    <row r="51">
      <c r="A51" s="23" t="inlineStr">
        <is>
          <t>SATE-NET-008</t>
        </is>
      </c>
      <c r="B51" s="9" t="inlineStr">
        <is>
          <t>P1</t>
        </is>
      </c>
      <c r="C51" s="25" t="inlineStr">
        <is>
          <t>Network, Offline, and Upload Recovery</t>
        </is>
      </c>
      <c r="D51" s="25" t="inlineStr">
        <is>
          <t>Switch from one Wi-Fi network to another or to a hotspot during upload</t>
        </is>
      </c>
      <c r="E51" s="25" t="inlineStr">
        <is>
          <t>Run the recorder's direct Wi-Fi upload path.</t>
        </is>
      </c>
      <c r="F51" s="24" t="inlineStr">
        <is>
          <t>RQ-09</t>
        </is>
      </c>
      <c r="G51" s="25" t="inlineStr">
        <is>
          <t>Upload is in progress and a second valid network is available.</t>
        </is>
      </c>
      <c r="H51" s="34" t="inlineStr">
        <is>
          <t>10-minute recording.</t>
        </is>
      </c>
      <c r="I51" s="34" t="inlineStr">
        <is>
          <t>1. Start upload on Network A.
2. Disconnect from Network A mid-upload.
3. Connect to Network B or hotspot.
4. Wait for retry/resume.
5. Inspect final session.</t>
        </is>
      </c>
      <c r="J51" s="34" t="inlineStr">
        <is>
          <t>The upload recovers without requiring a new recording. Status updates remain understandable.</t>
        </is>
      </c>
      <c r="K51" s="34" t="inlineStr">
        <is>
          <t>Network switching does not produce corruption, duplication, or permanent Uploading state.</t>
        </is>
      </c>
      <c r="L51" s="35">
        <f>IFERROR(VLOOKUP($A51,'Test Cases'!$A:$X,24,FALSE),"")</f>
        <v/>
      </c>
    </row>
    <row r="52">
      <c r="A52" s="23" t="inlineStr">
        <is>
          <t>SATE-NET-009</t>
        </is>
      </c>
      <c r="B52" s="9" t="inlineStr">
        <is>
          <t>P1</t>
        </is>
      </c>
      <c r="C52" s="25" t="inlineStr">
        <is>
          <t>Network, Offline, and Upload Recovery</t>
        </is>
      </c>
      <c r="D52" s="25" t="inlineStr">
        <is>
          <t>Rapidly flapping or weak network</t>
        </is>
      </c>
      <c r="E52" s="25" t="inlineStr">
        <is>
          <t>Run the recorder's direct Wi-Fi upload path.</t>
        </is>
      </c>
      <c r="F52" s="24" t="inlineStr">
        <is>
          <t>RQ-09, RQ-20</t>
        </is>
      </c>
      <c r="G52" s="25" t="inlineStr">
        <is>
          <t>Network can be toggled or throttled.</t>
        </is>
      </c>
      <c r="H52" s="34" t="inlineStr">
        <is>
          <t>10-minute session; alternate online/offline several times.</t>
        </is>
      </c>
      <c r="I52" s="34" t="inlineStr">
        <is>
          <t>1. Start upload.
2. Alternate online and offline states several times.
3. End with a stable connection.
4. Wait for completion.
5. Review retry count and final records.</t>
        </is>
      </c>
      <c r="J52" s="34" t="inlineStr">
        <is>
          <t>The UI does not spam duplicate sessions or become unresponsive. It eventually completes or reaches a clear retryable state.</t>
        </is>
      </c>
      <c r="K52" s="34" t="inlineStr">
        <is>
          <t>The system recovers when stability returns and never creates conflicting final states.</t>
        </is>
      </c>
      <c r="L52" s="35">
        <f>IFERROR(VLOOKUP($A52,'Test Cases'!$A:$X,24,FALSE),"")</f>
        <v/>
      </c>
    </row>
    <row r="53">
      <c r="A53" s="23" t="inlineStr">
        <is>
          <t>SATE-PDF-003</t>
        </is>
      </c>
      <c r="B53" s="9" t="inlineStr">
        <is>
          <t>P1</t>
        </is>
      </c>
      <c r="C53" s="25" t="inlineStr">
        <is>
          <t>PDF Export</t>
        </is>
      </c>
      <c r="D53" s="25" t="inlineStr">
        <is>
          <t>Special characters and Unicode in PDF</t>
        </is>
      </c>
      <c r="E53" s="25" t="inlineStr"/>
      <c r="F53" s="24" t="inlineStr"/>
      <c r="G53" s="25" t="inlineStr">
        <is>
          <t>Transcript contains the supported special-character test set.</t>
        </is>
      </c>
      <c r="H53" s="34" t="inlineStr">
        <is>
          <t>IPA, accented Latin, punctuation, speaker labels, symbols, and selected non-Latin text.</t>
        </is>
      </c>
      <c r="I53" s="34" t="inlineStr">
        <is>
          <t>1. Export the report.
2. Compare each special-character sample with the Web App/source.
3. Copy text from PDF where applicable.</t>
        </is>
      </c>
      <c r="J53" s="34" t="inlineStr">
        <is>
          <t>Characters render correctly without boxes, substitutions, or layout corruption.</t>
        </is>
      </c>
      <c r="K53" s="34" t="inlineStr">
        <is>
          <t>All supported characters remain legible and accurate.</t>
        </is>
      </c>
      <c r="L53" s="35">
        <f>IFERROR(VLOOKUP($A53,'Test Cases'!$A:$X,24,FALSE),"")</f>
        <v/>
      </c>
    </row>
    <row r="54">
      <c r="A54" s="23" t="inlineStr">
        <is>
          <t>SATE-PDF-005</t>
        </is>
      </c>
      <c r="B54" s="9" t="inlineStr">
        <is>
          <t>P1</t>
        </is>
      </c>
      <c r="C54" s="25" t="inlineStr">
        <is>
          <t>PDF Export</t>
        </is>
      </c>
      <c r="D54" s="25" t="inlineStr">
        <is>
          <t>Export request for Processing, Partial, or Failed session</t>
        </is>
      </c>
      <c r="E54" s="25" t="inlineStr"/>
      <c r="F54" s="24" t="inlineStr">
        <is>
          <t>RQ-13</t>
        </is>
      </c>
      <c r="G54" s="25" t="inlineStr">
        <is>
          <t>Sessions exist in Processing, Partial, and Failed states.</t>
        </is>
      </c>
      <c r="H54" s="34" t="inlineStr">
        <is>
          <t>Three controlled sessions.</t>
        </is>
      </c>
      <c r="I54" s="34" t="inlineStr">
        <is>
          <t>1. Open each session.
2. Attempt export.
3. Observe message and any permitted partial-report option.</t>
        </is>
      </c>
      <c r="J54" s="34" t="inlineStr">
        <is>
          <t>Export is disabled or clearly labeled as partial according to requirement. No misleading complete report is generated.</t>
        </is>
      </c>
      <c r="K54" s="34" t="inlineStr">
        <is>
          <t>Incomplete sessions cannot produce an unlabeled or misleading complete report.</t>
        </is>
      </c>
      <c r="L54" s="35">
        <f>IFERROR(VLOOKUP($A54,'Test Cases'!$A:$X,24,FALSE),"")</f>
        <v/>
      </c>
    </row>
    <row r="55">
      <c r="A55" s="23" t="inlineStr">
        <is>
          <t>SATE-PDF-006</t>
        </is>
      </c>
      <c r="B55" s="9" t="inlineStr">
        <is>
          <t>P1</t>
        </is>
      </c>
      <c r="C55" s="25" t="inlineStr">
        <is>
          <t>PDF Export</t>
        </is>
      </c>
      <c r="D55" s="25" t="inlineStr">
        <is>
          <t>PDF file name, metadata, time zone, repeated export, and access</t>
        </is>
      </c>
      <c r="E55" s="25" t="inlineStr"/>
      <c r="F55" s="24" t="inlineStr"/>
      <c r="G55" s="25" t="inlineStr">
        <is>
          <t>Completed session exists; user has export access.</t>
        </is>
      </c>
      <c r="H55" s="34" t="inlineStr">
        <is>
          <t>Session with known local date/time and user ID.</t>
        </is>
      </c>
      <c r="I55" s="34" t="inlineStr">
        <is>
          <t>1. Export twice.
2. Review file names and document metadata.
3. Compare report date/time to Web App.
4. Attempt access after logout or URL expiration.</t>
        </is>
      </c>
      <c r="J55" s="34" t="inlineStr">
        <is>
          <t>File naming is deterministic and safe; repeat export does not create wrong content; unauthorized access is denied.</t>
        </is>
      </c>
      <c r="K55" s="34" t="inlineStr">
        <is>
          <t>Repeated export is consistent and only authorized users can access the report.</t>
        </is>
      </c>
      <c r="L55" s="35">
        <f>IFERROR(VLOOKUP($A55,'Test Cases'!$A:$X,24,FALSE),"")</f>
        <v/>
      </c>
    </row>
    <row r="56">
      <c r="A56" s="23" t="inlineStr">
        <is>
          <t>SATE-WEB-003</t>
        </is>
      </c>
      <c r="B56" s="9" t="inlineStr">
        <is>
          <t>P1</t>
        </is>
      </c>
      <c r="C56" s="25" t="inlineStr">
        <is>
          <t>Web Transcript Review</t>
        </is>
      </c>
      <c r="D56" s="25" t="inlineStr">
        <is>
          <t>Refresh, browser Back/Forward, and multiple tabs</t>
        </is>
      </c>
      <c r="E56" s="25" t="inlineStr"/>
      <c r="F56" s="24" t="inlineStr">
        <is>
          <t>RQ-15</t>
        </is>
      </c>
      <c r="G56" s="25" t="inlineStr">
        <is>
          <t>Two completed sessions A and B exist.</t>
        </is>
      </c>
      <c r="H56" s="34" t="inlineStr">
        <is>
          <t>Open A and B in separate tabs.</t>
        </is>
      </c>
      <c r="I56" s="34" t="inlineStr">
        <is>
          <t>1. Open Session A.
2. Open Session B in another tab.
3. Refresh both.
4. Use Back and Forward.
5. Compare displayed content.</t>
        </is>
      </c>
      <c r="J56" s="34" t="inlineStr">
        <is>
          <t>Each tab retains its own session. Navigation never shows Session A metadata with Session B transcript/audio.</t>
        </is>
      </c>
      <c r="K56" s="34" t="inlineStr">
        <is>
          <t>No cross-session content mixing or stale-cache substitution occurs.</t>
        </is>
      </c>
      <c r="L56" s="35">
        <f>IFERROR(VLOOKUP($A56,'Test Cases'!$A:$X,24,FALSE),"")</f>
        <v/>
      </c>
    </row>
    <row r="57">
      <c r="A57" s="23" t="inlineStr">
        <is>
          <t>SATE-WEB-007</t>
        </is>
      </c>
      <c r="B57" s="9" t="inlineStr">
        <is>
          <t>P1</t>
        </is>
      </c>
      <c r="C57" s="25" t="inlineStr">
        <is>
          <t>Web Transcript Review</t>
        </is>
      </c>
      <c r="D57" s="25" t="inlineStr">
        <is>
          <t>Long transcript and special characters</t>
        </is>
      </c>
      <c r="E57" s="25" t="inlineStr"/>
      <c r="F57" s="24" t="inlineStr">
        <is>
          <t>RQ-15, RQ-20</t>
        </is>
      </c>
      <c r="G57" s="25" t="inlineStr">
        <is>
          <t>A long completed/edited transcript containing special characters exists.</t>
        </is>
      </c>
      <c r="H57" s="34" t="inlineStr">
        <is>
          <t>45-minute transcript; apostrophes, hyphens, IPA symbols, accented characters, non-Latin Unicode, and long strings.</t>
        </is>
      </c>
      <c r="I57" s="34" t="inlineStr">
        <is>
          <t>1. Open the transcript.
2. Search/scroll through the page.
3. Edit and save selected special characters if supported.
4. Refresh.
5. Export PDF.</t>
        </is>
      </c>
      <c r="J57" s="34" t="inlineStr">
        <is>
          <t>Page remains responsive; characters render without replacement boxes or corruption; layout does not overlap.</t>
        </is>
      </c>
      <c r="K57" s="34" t="inlineStr">
        <is>
          <t>Long and multilingual/special-character content remains accurate and usable.</t>
        </is>
      </c>
      <c r="L57" s="35">
        <f>IFERROR(VLOOKUP($A57,'Test Cases'!$A:$X,24,FALSE),"")</f>
        <v/>
      </c>
    </row>
    <row r="58">
      <c r="A58" s="23" t="inlineStr">
        <is>
          <t>SATE-NET-007</t>
        </is>
      </c>
      <c r="B58" s="9" t="inlineStr">
        <is>
          <t>P2</t>
        </is>
      </c>
      <c r="C58" s="25" t="inlineStr">
        <is>
          <t>Network, Offline, and Upload Recovery</t>
        </is>
      </c>
      <c r="D58" s="25" t="inlineStr">
        <is>
          <t>Captive portal or authentication-required Wi-Fi</t>
        </is>
      </c>
      <c r="E58" s="25" t="inlineStr">
        <is>
          <t>Recorder behind the captive portal only. Skip the app.</t>
        </is>
      </c>
      <c r="F58" s="24" t="inlineStr"/>
      <c r="G58" s="25" t="inlineStr">
        <is>
          <t>Connect to a captive-portal network without completing sign-in.</t>
        </is>
      </c>
      <c r="H58" s="34" t="inlineStr">
        <is>
          <t>3-minute pending session.</t>
        </is>
      </c>
      <c r="I58" s="34" t="inlineStr">
        <is>
          <t>1. Connect to captive-portal Wi-Fi.
2. Attempt sync.
3. Complete portal sign-in.
4. Observe retry and completion.</t>
        </is>
      </c>
      <c r="J58" s="34" t="inlineStr">
        <is>
          <t>The system shows a network error/pending state until Internet is usable, then retries without creating a second session.</t>
        </is>
      </c>
      <c r="K58" s="34" t="inlineStr">
        <is>
          <t>The session remains safe until the network becomes usable and then completes normally.</t>
        </is>
      </c>
      <c r="L58" s="35">
        <f>IFERROR(VLOOKUP($A58,'Test Cases'!$A:$X,24,FALSE),"")</f>
        <v/>
      </c>
    </row>
  </sheetData>
  <autoFilter ref="A4:L58"/>
  <mergeCells count="1">
    <mergeCell ref="A2:L2"/>
  </mergeCells>
  <conditionalFormatting sqref="A5:L58">
    <cfRule type="expression" priority="1" dxfId="3">
      <formula>$L5="Fail"</formula>
    </cfRule>
    <cfRule type="expression" priority="2" dxfId="4">
      <formula>$L5="Pass"</formula>
    </cfRule>
    <cfRule type="expression" priority="3" dxfId="5">
      <formula>$L5="Blocked"</formula>
    </cfRule>
  </conditionalFormatting>
  <conditionalFormatting sqref="B5:B58">
    <cfRule type="cellIs" priority="4" operator="equal" dxfId="7">
      <formula>"P0"</formula>
    </cfRule>
  </conditionalFormatting>
  <conditionalFormatting sqref="F5:F58">
    <cfRule type="expression" priority="5" dxfId="6">
      <formula>LEN($F5)&gt;0</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8"/>
  <sheetViews>
    <sheetView showGridLines="0" workbookViewId="0">
      <pane ySplit="4" topLeftCell="A5" activePane="bottomLeft" state="frozen"/>
      <selection pane="bottomLeft" activeCell="A1" sqref="A1"/>
    </sheetView>
  </sheetViews>
  <sheetFormatPr baseColWidth="8" defaultRowHeight="15"/>
  <cols>
    <col width="15" customWidth="1" min="1" max="1"/>
    <col width="9" customWidth="1" min="2" max="2"/>
    <col width="30" customWidth="1" min="3" max="3"/>
    <col width="50" customWidth="1" min="4" max="4"/>
    <col width="52" customWidth="1" min="5" max="5"/>
    <col width="20" customWidth="1" min="6" max="6"/>
    <col width="12" customWidth="1" min="7" max="7"/>
  </cols>
  <sheetData>
    <row r="1">
      <c r="A1" s="1" t="inlineStr">
        <is>
          <t>Server-Side Tests</t>
        </is>
      </c>
    </row>
    <row r="2">
      <c r="A2" s="2" t="inlineStr">
        <is>
          <t>Everything needing backend access, IN THE CURRENT SCOPE. "Both" cases are listed here too — the tester performs the action, you verify it. Pure Server Side cases you drive entirely yourself.</t>
        </is>
      </c>
    </row>
    <row r="4" ht="30" customHeight="1">
      <c r="A4" s="22" t="inlineStr">
        <is>
          <t>TC ID</t>
        </is>
      </c>
      <c r="B4" s="22" t="inlineStr">
        <is>
          <t>Priority</t>
        </is>
      </c>
      <c r="C4" s="22" t="inlineStr">
        <is>
          <t>Category</t>
        </is>
      </c>
      <c r="D4" s="22" t="inlineStr">
        <is>
          <t>Test Case Title</t>
        </is>
      </c>
      <c r="E4" s="22" t="inlineStr">
        <is>
          <t>Scope Note</t>
        </is>
      </c>
      <c r="F4" s="22" t="inlineStr">
        <is>
          <t>Blocked By</t>
        </is>
      </c>
      <c r="G4" s="22" t="inlineStr">
        <is>
          <t>Status</t>
        </is>
      </c>
    </row>
    <row r="5" ht="30" customHeight="1">
      <c r="A5" s="23" t="inlineStr">
        <is>
          <t>SATE-BE-001</t>
        </is>
      </c>
      <c r="B5" s="9" t="inlineStr">
        <is>
          <t>P0</t>
        </is>
      </c>
      <c r="C5" s="25" t="inlineStr">
        <is>
          <t>Backend, Retry, and AI Processing</t>
        </is>
      </c>
      <c r="D5" s="25" t="inlineStr">
        <is>
          <t>Standard backend status progression and result persistence</t>
        </is>
      </c>
      <c r="E5" s="25" t="inlineStr"/>
      <c r="F5" s="24" t="inlineStr">
        <is>
          <t>RQ-20</t>
        </is>
      </c>
      <c r="G5" s="9">
        <f>IFERROR(VLOOKUP($A5,'Test Cases'!$A:$X,24,FALSE),"")</f>
        <v/>
      </c>
    </row>
    <row r="6" ht="30" customHeight="1">
      <c r="A6" s="23" t="inlineStr">
        <is>
          <t>SATE-BE-002</t>
        </is>
      </c>
      <c r="B6" s="9" t="inlineStr">
        <is>
          <t>P0</t>
        </is>
      </c>
      <c r="C6" s="25" t="inlineStr">
        <is>
          <t>Backend, Retry, and AI Processing</t>
        </is>
      </c>
      <c r="D6" s="25" t="inlineStr">
        <is>
          <t>AI service returns 500 once, then succeeds</t>
        </is>
      </c>
      <c r="E6" s="25" t="inlineStr"/>
      <c r="F6" s="24" t="inlineStr">
        <is>
          <t>RQ-11</t>
        </is>
      </c>
      <c r="G6" s="9">
        <f>IFERROR(VLOOKUP($A6,'Test Cases'!$A:$X,24,FALSE),"")</f>
        <v/>
      </c>
    </row>
    <row r="7" ht="30" customHeight="1">
      <c r="A7" s="23" t="inlineStr">
        <is>
          <t>SATE-BE-003</t>
        </is>
      </c>
      <c r="B7" s="9" t="inlineStr">
        <is>
          <t>P0</t>
        </is>
      </c>
      <c r="C7" s="25" t="inlineStr">
        <is>
          <t>Backend, Retry, and AI Processing</t>
        </is>
      </c>
      <c r="D7" s="25" t="inlineStr">
        <is>
          <t>AI service returns 5xx on all three allowed attempts</t>
        </is>
      </c>
      <c r="E7" s="25" t="inlineStr"/>
      <c r="F7" s="24" t="inlineStr">
        <is>
          <t>RQ-11, RQ-13</t>
        </is>
      </c>
      <c r="G7" s="9">
        <f>IFERROR(VLOOKUP($A7,'Test Cases'!$A:$X,24,FALSE),"")</f>
        <v/>
      </c>
    </row>
    <row r="8" ht="30" customHeight="1">
      <c r="A8" s="23" t="inlineStr">
        <is>
          <t>SATE-BE-004</t>
        </is>
      </c>
      <c r="B8" s="9" t="inlineStr">
        <is>
          <t>P0</t>
        </is>
      </c>
      <c r="C8" s="25" t="inlineStr">
        <is>
          <t>Backend, Retry, and AI Processing</t>
        </is>
      </c>
      <c r="D8" s="25" t="inlineStr">
        <is>
          <t>AI service returns a non-retryable 4xx error</t>
        </is>
      </c>
      <c r="E8" s="25" t="inlineStr"/>
      <c r="F8" s="24" t="inlineStr">
        <is>
          <t>RQ-12, RQ-13</t>
        </is>
      </c>
      <c r="G8" s="9">
        <f>IFERROR(VLOOKUP($A8,'Test Cases'!$A:$X,24,FALSE),"")</f>
        <v/>
      </c>
    </row>
    <row r="9" ht="30" customHeight="1">
      <c r="A9" s="23" t="inlineStr">
        <is>
          <t>SATE-BE-005</t>
        </is>
      </c>
      <c r="B9" s="9" t="inlineStr">
        <is>
          <t>P0</t>
        </is>
      </c>
      <c r="C9" s="25" t="inlineStr">
        <is>
          <t>Backend, Retry, and AI Processing</t>
        </is>
      </c>
      <c r="D9" s="25" t="inlineStr">
        <is>
          <t>AI request times out, then succeeds</t>
        </is>
      </c>
      <c r="E9" s="25" t="inlineStr"/>
      <c r="F9" s="24" t="inlineStr">
        <is>
          <t>RQ-11, RQ-20</t>
        </is>
      </c>
      <c r="G9" s="9">
        <f>IFERROR(VLOOKUP($A9,'Test Cases'!$A:$X,24,FALSE),"")</f>
        <v/>
      </c>
    </row>
    <row r="10" ht="30" customHeight="1">
      <c r="A10" s="23" t="inlineStr">
        <is>
          <t>SATE-BE-006</t>
        </is>
      </c>
      <c r="B10" s="9" t="inlineStr">
        <is>
          <t>P0</t>
        </is>
      </c>
      <c r="C10" s="25" t="inlineStr">
        <is>
          <t>Backend, Retry, and AI Processing</t>
        </is>
      </c>
      <c r="D10" s="25" t="inlineStr">
        <is>
          <t>AI returns malformed JSON</t>
        </is>
      </c>
      <c r="E10" s="25" t="inlineStr"/>
      <c r="F10" s="24" t="inlineStr"/>
      <c r="G10" s="9">
        <f>IFERROR(VLOOKUP($A10,'Test Cases'!$A:$X,24,FALSE),"")</f>
        <v/>
      </c>
    </row>
    <row r="11" ht="30" customHeight="1">
      <c r="A11" s="23" t="inlineStr">
        <is>
          <t>SATE-BE-007</t>
        </is>
      </c>
      <c r="B11" s="9" t="inlineStr">
        <is>
          <t>P0</t>
        </is>
      </c>
      <c r="C11" s="25" t="inlineStr">
        <is>
          <t>Backend, Retry, and AI Processing</t>
        </is>
      </c>
      <c r="D11" s="25" t="inlineStr">
        <is>
          <t>AI returns valid JSON with missing or partial required fields</t>
        </is>
      </c>
      <c r="E11" s="25" t="inlineStr"/>
      <c r="F11" s="24" t="inlineStr"/>
      <c r="G11" s="9">
        <f>IFERROR(VLOOKUP($A11,'Test Cases'!$A:$X,24,FALSE),"")</f>
        <v/>
      </c>
    </row>
    <row r="12" ht="30" customHeight="1">
      <c r="A12" s="23" t="inlineStr">
        <is>
          <t>SATE-BE-008</t>
        </is>
      </c>
      <c r="B12" s="9" t="inlineStr">
        <is>
          <t>P0</t>
        </is>
      </c>
      <c r="C12" s="25" t="inlineStr">
        <is>
          <t>Backend, Retry, and AI Processing</t>
        </is>
      </c>
      <c r="D12" s="25" t="inlineStr">
        <is>
          <t>Duplicate AI callback or duplicate result submission</t>
        </is>
      </c>
      <c r="E12" s="25" t="inlineStr"/>
      <c r="F12" s="24" t="inlineStr"/>
      <c r="G12" s="9">
        <f>IFERROR(VLOOKUP($A12,'Test Cases'!$A:$X,24,FALSE),"")</f>
        <v/>
      </c>
    </row>
    <row r="13" ht="30" customHeight="1">
      <c r="A13" s="23" t="inlineStr">
        <is>
          <t>SATE-BE-009</t>
        </is>
      </c>
      <c r="B13" s="9" t="inlineStr">
        <is>
          <t>P0</t>
        </is>
      </c>
      <c r="C13" s="25" t="inlineStr">
        <is>
          <t>Backend, Retry, and AI Processing</t>
        </is>
      </c>
      <c r="D13" s="25" t="inlineStr">
        <is>
          <t>Out-of-order status updates or late responses</t>
        </is>
      </c>
      <c r="E13" s="25" t="inlineStr"/>
      <c r="F13" s="24" t="inlineStr"/>
      <c r="G13" s="9">
        <f>IFERROR(VLOOKUP($A13,'Test Cases'!$A:$X,24,FALSE),"")</f>
        <v/>
      </c>
    </row>
    <row r="14" ht="30" customHeight="1">
      <c r="A14" s="23" t="inlineStr">
        <is>
          <t>SATE-BE-010</t>
        </is>
      </c>
      <c r="B14" s="9" t="inlineStr">
        <is>
          <t>P0</t>
        </is>
      </c>
      <c r="C14" s="25" t="inlineStr">
        <is>
          <t>Backend, Retry, and AI Processing</t>
        </is>
      </c>
      <c r="D14" s="25" t="inlineStr">
        <is>
          <t>Cloudflare or Edge Function is temporarily unavailable</t>
        </is>
      </c>
      <c r="E14" s="25" t="inlineStr"/>
      <c r="F14" s="24" t="inlineStr">
        <is>
          <t>RQ-11, RQ-13, RQ-20</t>
        </is>
      </c>
      <c r="G14" s="9">
        <f>IFERROR(VLOOKUP($A14,'Test Cases'!$A:$X,24,FALSE),"")</f>
        <v/>
      </c>
    </row>
    <row r="15" ht="30" customHeight="1">
      <c r="A15" s="23" t="inlineStr">
        <is>
          <t>SATE-BE-011</t>
        </is>
      </c>
      <c r="B15" s="9" t="inlineStr">
        <is>
          <t>P0</t>
        </is>
      </c>
      <c r="C15" s="25" t="inlineStr">
        <is>
          <t>Backend, Retry, and AI Processing</t>
        </is>
      </c>
      <c r="D15" s="25" t="inlineStr">
        <is>
          <t>Audio upload succeeds but database/session update fails</t>
        </is>
      </c>
      <c r="E15" s="25" t="inlineStr"/>
      <c r="F15" s="24" t="inlineStr"/>
      <c r="G15" s="9">
        <f>IFERROR(VLOOKUP($A15,'Test Cases'!$A:$X,24,FALSE),"")</f>
        <v/>
      </c>
    </row>
    <row r="16" ht="30" customHeight="1">
      <c r="A16" s="23" t="inlineStr">
        <is>
          <t>SATE-BE-012</t>
        </is>
      </c>
      <c r="B16" s="9" t="inlineStr">
        <is>
          <t>P0</t>
        </is>
      </c>
      <c r="C16" s="25" t="inlineStr">
        <is>
          <t>Backend, Retry, and AI Processing</t>
        </is>
      </c>
      <c r="D16" s="25" t="inlineStr">
        <is>
          <t>Manual reprocess after final processing failure</t>
        </is>
      </c>
      <c r="E16" s="25" t="inlineStr"/>
      <c r="F16" s="24" t="inlineStr">
        <is>
          <t>RQ-13</t>
        </is>
      </c>
      <c r="G16" s="9">
        <f>IFERROR(VLOOKUP($A16,'Test Cases'!$A:$X,24,FALSE),"")</f>
        <v/>
      </c>
    </row>
    <row r="17" ht="30" customHeight="1">
      <c r="A17" s="23" t="inlineStr">
        <is>
          <t>SATE-E2E-001</t>
        </is>
      </c>
      <c r="B17" s="9" t="inlineStr">
        <is>
          <t>P0</t>
        </is>
      </c>
      <c r="C17" s="25" t="inlineStr">
        <is>
          <t>End-to-End Recording and Sync</t>
        </is>
      </c>
      <c r="D17" s="25" t="inlineStr">
        <is>
          <t>Standard online recording, upload, processing, review, and PDF export</t>
        </is>
      </c>
      <c r="E17" s="25" t="inlineStr"/>
      <c r="F17" s="24" t="inlineStr">
        <is>
          <t>RQ-20</t>
        </is>
      </c>
      <c r="G17" s="9">
        <f>IFERROR(VLOOKUP($A17,'Test Cases'!$A:$X,24,FALSE),"")</f>
        <v/>
      </c>
    </row>
    <row r="18" ht="30" customHeight="1">
      <c r="A18" s="23" t="inlineStr">
        <is>
          <t>SATE-E2E-005</t>
        </is>
      </c>
      <c r="B18" s="9" t="inlineStr">
        <is>
          <t>P0</t>
        </is>
      </c>
      <c r="C18" s="25" t="inlineStr">
        <is>
          <t>End-to-End Recording and Sync</t>
        </is>
      </c>
      <c r="D18" s="25" t="inlineStr">
        <is>
          <t>Session metadata, timestamp, time-zone, and device association</t>
        </is>
      </c>
      <c r="E18" s="25" t="inlineStr"/>
      <c r="F18" s="24" t="inlineStr"/>
      <c r="G18" s="9">
        <f>IFERROR(VLOOKUP($A18,'Test Cases'!$A:$X,24,FALSE),"")</f>
        <v/>
      </c>
    </row>
    <row r="19" ht="30" customHeight="1">
      <c r="A19" s="23" t="inlineStr">
        <is>
          <t>SATE-E2E-006</t>
        </is>
      </c>
      <c r="B19" s="9" t="inlineStr">
        <is>
          <t>P0</t>
        </is>
      </c>
      <c r="C19" s="25" t="inlineStr">
        <is>
          <t>End-to-End Recording and Sync</t>
        </is>
      </c>
      <c r="D19" s="25" t="inlineStr">
        <is>
          <t>Repeated Stop, Save, Upload, or Submit actions</t>
        </is>
      </c>
      <c r="E19" s="25" t="inlineStr">
        <is>
          <t>Repeat Stop / Save / Upload on the recorder only. Skip the app's Submit control.</t>
        </is>
      </c>
      <c r="F19" s="24" t="inlineStr">
        <is>
          <t>RQ-21</t>
        </is>
      </c>
      <c r="G19" s="9">
        <f>IFERROR(VLOOKUP($A19,'Test Cases'!$A:$X,24,FALSE),"")</f>
        <v/>
      </c>
    </row>
    <row r="20" ht="30" customHeight="1">
      <c r="A20" s="23" t="inlineStr">
        <is>
          <t>SATE-LONG-001</t>
        </is>
      </c>
      <c r="B20" s="9" t="inlineStr">
        <is>
          <t>P0</t>
        </is>
      </c>
      <c r="C20" s="25" t="inlineStr">
        <is>
          <t>Long Session and Performance</t>
        </is>
      </c>
      <c r="D20" s="25" t="inlineStr">
        <is>
          <t>Recording at the 30-minute boundary</t>
        </is>
      </c>
      <c r="E20" s="25" t="inlineStr"/>
      <c r="F20" s="24" t="inlineStr">
        <is>
          <t>RQ-07, RQ-20</t>
        </is>
      </c>
      <c r="G20" s="9">
        <f>IFERROR(VLOOKUP($A20,'Test Cases'!$A:$X,24,FALSE),"")</f>
        <v/>
      </c>
    </row>
    <row r="21" ht="30" customHeight="1">
      <c r="A21" s="23" t="inlineStr">
        <is>
          <t>SATE-LONG-002</t>
        </is>
      </c>
      <c r="B21" s="9" t="inlineStr">
        <is>
          <t>P0</t>
        </is>
      </c>
      <c r="C21" s="25" t="inlineStr">
        <is>
          <t>Long Session and Performance</t>
        </is>
      </c>
      <c r="D21" s="25" t="inlineStr">
        <is>
          <t>Forty-five-minute recording</t>
        </is>
      </c>
      <c r="E21" s="25" t="inlineStr"/>
      <c r="F21" s="24" t="inlineStr">
        <is>
          <t>RQ-07, RQ-20</t>
        </is>
      </c>
      <c r="G21" s="9">
        <f>IFERROR(VLOOKUP($A21,'Test Cases'!$A:$X,24,FALSE),"")</f>
        <v/>
      </c>
    </row>
    <row r="22" ht="30" customHeight="1">
      <c r="A22" s="23" t="inlineStr">
        <is>
          <t>SATE-LONG-003</t>
        </is>
      </c>
      <c r="B22" s="9" t="inlineStr">
        <is>
          <t>P0</t>
        </is>
      </c>
      <c r="C22" s="25" t="inlineStr">
        <is>
          <t>Long Session and Performance</t>
        </is>
      </c>
      <c r="D22" s="25" t="inlineStr">
        <is>
          <t>Maximum supported recording duration</t>
        </is>
      </c>
      <c r="E22" s="25" t="inlineStr"/>
      <c r="F22" s="24" t="inlineStr">
        <is>
          <t>RQ-07, RQ-20</t>
        </is>
      </c>
      <c r="G22" s="9">
        <f>IFERROR(VLOOKUP($A22,'Test Cases'!$A:$X,24,FALSE),"")</f>
        <v/>
      </c>
    </row>
    <row r="23" ht="30" customHeight="1">
      <c r="A23" s="23" t="inlineStr">
        <is>
          <t>SATE-LONG-004</t>
        </is>
      </c>
      <c r="B23" s="9" t="inlineStr">
        <is>
          <t>P0</t>
        </is>
      </c>
      <c r="C23" s="25" t="inlineStr">
        <is>
          <t>Long Session and Performance</t>
        </is>
      </c>
      <c r="D23" s="25" t="inlineStr">
        <is>
          <t>Long-session upload interrupted and resumed</t>
        </is>
      </c>
      <c r="E23" s="25" t="inlineStr">
        <is>
          <t>Run the recorder's direct Wi-Fi upload path.</t>
        </is>
      </c>
      <c r="F23" s="24" t="inlineStr">
        <is>
          <t>RQ-09, RQ-20</t>
        </is>
      </c>
      <c r="G23" s="9">
        <f>IFERROR(VLOOKUP($A23,'Test Cases'!$A:$X,24,FALSE),"")</f>
        <v/>
      </c>
    </row>
    <row r="24" ht="30" customHeight="1">
      <c r="A24" s="23" t="inlineStr">
        <is>
          <t>SATE-NET-001</t>
        </is>
      </c>
      <c r="B24" s="9" t="inlineStr">
        <is>
          <t>P0</t>
        </is>
      </c>
      <c r="C24" s="25" t="inlineStr">
        <is>
          <t>Network, Offline, and Upload Recovery</t>
        </is>
      </c>
      <c r="D24" s="25" t="inlineStr">
        <is>
          <t>Recording starts and ends while fully offline</t>
        </is>
      </c>
      <c r="E24" s="25" t="inlineStr"/>
      <c r="F24" s="24" t="inlineStr"/>
      <c r="G24" s="9">
        <f>IFERROR(VLOOKUP($A24,'Test Cases'!$A:$X,24,FALSE),"")</f>
        <v/>
      </c>
    </row>
    <row r="25" ht="30" customHeight="1">
      <c r="A25" s="23" t="inlineStr">
        <is>
          <t>SATE-NET-002</t>
        </is>
      </c>
      <c r="B25" s="9" t="inlineStr">
        <is>
          <t>P0</t>
        </is>
      </c>
      <c r="C25" s="25" t="inlineStr">
        <is>
          <t>Network, Offline, and Upload Recovery</t>
        </is>
      </c>
      <c r="D25" s="25" t="inlineStr">
        <is>
          <t>Internet connection is lost during recording</t>
        </is>
      </c>
      <c r="E25" s="25" t="inlineStr"/>
      <c r="F25" s="24" t="inlineStr"/>
      <c r="G25" s="9">
        <f>IFERROR(VLOOKUP($A25,'Test Cases'!$A:$X,24,FALSE),"")</f>
        <v/>
      </c>
    </row>
    <row r="26" ht="30" customHeight="1">
      <c r="A26" s="23" t="inlineStr">
        <is>
          <t>SATE-NET-003</t>
        </is>
      </c>
      <c r="B26" s="9" t="inlineStr">
        <is>
          <t>P0</t>
        </is>
      </c>
      <c r="C26" s="25" t="inlineStr">
        <is>
          <t>Network, Offline, and Upload Recovery</t>
        </is>
      </c>
      <c r="D26" s="25" t="inlineStr">
        <is>
          <t>Internet is lost after Stop but before upload starts</t>
        </is>
      </c>
      <c r="E26" s="25" t="inlineStr"/>
      <c r="F26" s="24" t="inlineStr"/>
      <c r="G26" s="9">
        <f>IFERROR(VLOOKUP($A26,'Test Cases'!$A:$X,24,FALSE),"")</f>
        <v/>
      </c>
    </row>
    <row r="27" ht="30" customHeight="1">
      <c r="A27" s="23" t="inlineStr">
        <is>
          <t>SATE-NET-004</t>
        </is>
      </c>
      <c r="B27" s="9" t="inlineStr">
        <is>
          <t>P0</t>
        </is>
      </c>
      <c r="C27" s="25" t="inlineStr">
        <is>
          <t>Network, Offline, and Upload Recovery</t>
        </is>
      </c>
      <c r="D27" s="25" t="inlineStr">
        <is>
          <t>Internet drops during an active upload</t>
        </is>
      </c>
      <c r="E27" s="25" t="inlineStr">
        <is>
          <t>Run the recorder's direct Wi-Fi upload path.</t>
        </is>
      </c>
      <c r="F27" s="24" t="inlineStr">
        <is>
          <t>RQ-09</t>
        </is>
      </c>
      <c r="G27" s="9">
        <f>IFERROR(VLOOKUP($A27,'Test Cases'!$A:$X,24,FALSE),"")</f>
        <v/>
      </c>
    </row>
    <row r="28" ht="30" customHeight="1">
      <c r="A28" s="23" t="inlineStr">
        <is>
          <t>SATE-NET-005</t>
        </is>
      </c>
      <c r="B28" s="9" t="inlineStr">
        <is>
          <t>P0</t>
        </is>
      </c>
      <c r="C28" s="25" t="inlineStr">
        <is>
          <t>Network, Offline, and Upload Recovery</t>
        </is>
      </c>
      <c r="D28" s="25" t="inlineStr">
        <is>
          <t>Connectivity returns while app/device is in background or screen is locked</t>
        </is>
      </c>
      <c r="E28" s="25" t="inlineStr">
        <is>
          <t>Recorder idle or asleep when connectivity returns. Skip phone background / screen-lock.</t>
        </is>
      </c>
      <c r="F28" s="24" t="inlineStr"/>
      <c r="G28" s="9">
        <f>IFERROR(VLOOKUP($A28,'Test Cases'!$A:$X,24,FALSE),"")</f>
        <v/>
      </c>
    </row>
    <row r="29" ht="30" customHeight="1">
      <c r="A29" s="23" t="inlineStr">
        <is>
          <t>SATE-NET-010</t>
        </is>
      </c>
      <c r="B29" s="9" t="inlineStr">
        <is>
          <t>P0</t>
        </is>
      </c>
      <c r="C29" s="25" t="inlineStr">
        <is>
          <t>Network, Offline, and Upload Recovery</t>
        </is>
      </c>
      <c r="D29" s="25" t="inlineStr">
        <is>
          <t>User taps manual Retry while automatic retry is already running</t>
        </is>
      </c>
      <c r="E29" s="25" t="inlineStr">
        <is>
          <t>Use the recorder's retry, or the web app's Retry control.</t>
        </is>
      </c>
      <c r="F29" s="24" t="inlineStr">
        <is>
          <t>RQ-09, RQ-13</t>
        </is>
      </c>
      <c r="G29" s="9">
        <f>IFERROR(VLOOKUP($A29,'Test Cases'!$A:$X,24,FALSE),"")</f>
        <v/>
      </c>
    </row>
    <row r="30" ht="30" customHeight="1">
      <c r="A30" s="23" t="inlineStr">
        <is>
          <t>SATE-QUE-001</t>
        </is>
      </c>
      <c r="B30" s="9" t="inlineStr">
        <is>
          <t>P0</t>
        </is>
      </c>
      <c r="C30" s="25" t="inlineStr">
        <is>
          <t>Queue, Batch, and Concurrency</t>
        </is>
      </c>
      <c r="D30" s="25" t="inlineStr">
        <is>
          <t>Five recordings made consecutively while online</t>
        </is>
      </c>
      <c r="E30" s="25" t="inlineStr"/>
      <c r="F30" s="24" t="inlineStr"/>
      <c r="G30" s="9">
        <f>IFERROR(VLOOKUP($A30,'Test Cases'!$A:$X,24,FALSE),"")</f>
        <v/>
      </c>
    </row>
    <row r="31" ht="30" customHeight="1">
      <c r="A31" s="23" t="inlineStr">
        <is>
          <t>SATE-QUE-002</t>
        </is>
      </c>
      <c r="B31" s="9" t="inlineStr">
        <is>
          <t>P0</t>
        </is>
      </c>
      <c r="C31" s="25" t="inlineStr">
        <is>
          <t>Queue, Batch, and Concurrency</t>
        </is>
      </c>
      <c r="D31" s="25" t="inlineStr">
        <is>
          <t>Start a new recording while the previous session is uploading</t>
        </is>
      </c>
      <c r="E31" s="25" t="inlineStr"/>
      <c r="F31" s="24" t="inlineStr"/>
      <c r="G31" s="9">
        <f>IFERROR(VLOOKUP($A31,'Test Cases'!$A:$X,24,FALSE),"")</f>
        <v/>
      </c>
    </row>
    <row r="32" ht="30" customHeight="1">
      <c r="A32" s="23" t="inlineStr">
        <is>
          <t>SATE-QUE-003</t>
        </is>
      </c>
      <c r="B32" s="9" t="inlineStr">
        <is>
          <t>P0</t>
        </is>
      </c>
      <c r="C32" s="25" t="inlineStr">
        <is>
          <t>Queue, Batch, and Concurrency</t>
        </is>
      </c>
      <c r="D32" s="25" t="inlineStr">
        <is>
          <t>Five offline recordings queued and uploaded later</t>
        </is>
      </c>
      <c r="E32" s="25" t="inlineStr"/>
      <c r="F32" s="24" t="inlineStr"/>
      <c r="G32" s="9">
        <f>IFERROR(VLOOKUP($A32,'Test Cases'!$A:$X,24,FALSE),"")</f>
        <v/>
      </c>
    </row>
    <row r="33" ht="30" customHeight="1">
      <c r="A33" s="23" t="inlineStr">
        <is>
          <t>SATE-QUE-004</t>
        </is>
      </c>
      <c r="B33" s="9" t="inlineStr">
        <is>
          <t>P0</t>
        </is>
      </c>
      <c r="C33" s="25" t="inlineStr">
        <is>
          <t>Queue, Batch, and Concurrency</t>
        </is>
      </c>
      <c r="D33" s="25" t="inlineStr">
        <is>
          <t>One queued session fails while later sessions continue</t>
        </is>
      </c>
      <c r="E33" s="25" t="inlineStr"/>
      <c r="F33" s="24" t="inlineStr">
        <is>
          <t>RQ-11, RQ-13</t>
        </is>
      </c>
      <c r="G33" s="9">
        <f>IFERROR(VLOOKUP($A33,'Test Cases'!$A:$X,24,FALSE),"")</f>
        <v/>
      </c>
    </row>
    <row r="34" ht="30" customHeight="1">
      <c r="A34" s="23" t="inlineStr">
        <is>
          <t>SATE-QUE-005</t>
        </is>
      </c>
      <c r="B34" s="9" t="inlineStr">
        <is>
          <t>P0</t>
        </is>
      </c>
      <c r="C34" s="25" t="inlineStr">
        <is>
          <t>Queue, Batch, and Concurrency</t>
        </is>
      </c>
      <c r="D34" s="25" t="inlineStr">
        <is>
          <t>Queue order and status persist across app/recorder restart</t>
        </is>
      </c>
      <c r="E34" s="25" t="inlineStr">
        <is>
          <t>Restart the recorder, not the app.</t>
        </is>
      </c>
      <c r="F34" s="24" t="inlineStr"/>
      <c r="G34" s="9">
        <f>IFERROR(VLOOKUP($A34,'Test Cases'!$A:$X,24,FALSE),"")</f>
        <v/>
      </c>
    </row>
    <row r="35" ht="30" customHeight="1">
      <c r="A35" s="23" t="inlineStr">
        <is>
          <t>SATE-REC-001</t>
        </is>
      </c>
      <c r="B35" s="9" t="inlineStr">
        <is>
          <t>P0</t>
        </is>
      </c>
      <c r="C35" s="25" t="inlineStr">
        <is>
          <t>Recorder Interruption and Local Persistence</t>
        </is>
      </c>
      <c r="D35" s="25" t="inlineStr">
        <is>
          <t>Graceful recorder restart during an active recording</t>
        </is>
      </c>
      <c r="E35" s="25" t="inlineStr"/>
      <c r="F35" s="24" t="inlineStr">
        <is>
          <t>RQ-06</t>
        </is>
      </c>
      <c r="G35" s="9">
        <f>IFERROR(VLOOKUP($A35,'Test Cases'!$A:$X,24,FALSE),"")</f>
        <v/>
      </c>
    </row>
    <row r="36" ht="30" customHeight="1">
      <c r="A36" s="23" t="inlineStr">
        <is>
          <t>SATE-REC-002</t>
        </is>
      </c>
      <c r="B36" s="9" t="inlineStr">
        <is>
          <t>P0</t>
        </is>
      </c>
      <c r="C36" s="25" t="inlineStr">
        <is>
          <t>Recorder Interruption and Local Persistence</t>
        </is>
      </c>
      <c r="D36" s="25" t="inlineStr">
        <is>
          <t>Forced power loss during an active recording</t>
        </is>
      </c>
      <c r="E36" s="25" t="inlineStr"/>
      <c r="F36" s="24" t="inlineStr">
        <is>
          <t>RQ-06</t>
        </is>
      </c>
      <c r="G36" s="9">
        <f>IFERROR(VLOOKUP($A36,'Test Cases'!$A:$X,24,FALSE),"")</f>
        <v/>
      </c>
    </row>
    <row r="37" ht="30" customHeight="1">
      <c r="A37" s="23" t="inlineStr">
        <is>
          <t>SATE-REC-003</t>
        </is>
      </c>
      <c r="B37" s="9" t="inlineStr">
        <is>
          <t>P0</t>
        </is>
      </c>
      <c r="C37" s="25" t="inlineStr">
        <is>
          <t>Recorder Interruption and Local Persistence</t>
        </is>
      </c>
      <c r="D37" s="25" t="inlineStr">
        <is>
          <t>Low-battery shutdown during recording</t>
        </is>
      </c>
      <c r="E37" s="25" t="inlineStr"/>
      <c r="F37" s="24" t="inlineStr">
        <is>
          <t>RQ-06, RQ-20</t>
        </is>
      </c>
      <c r="G37" s="9">
        <f>IFERROR(VLOOKUP($A37,'Test Cases'!$A:$X,24,FALSE),"")</f>
        <v/>
      </c>
    </row>
    <row r="38" ht="30" customHeight="1">
      <c r="A38" s="23" t="inlineStr">
        <is>
          <t>SATE-REC-004</t>
        </is>
      </c>
      <c r="B38" s="9" t="inlineStr">
        <is>
          <t>P0</t>
        </is>
      </c>
      <c r="C38" s="25" t="inlineStr">
        <is>
          <t>Recorder Interruption and Local Persistence</t>
        </is>
      </c>
      <c r="D38" s="25" t="inlineStr">
        <is>
          <t>Insufficient local storage before recording starts</t>
        </is>
      </c>
      <c r="E38" s="25" t="inlineStr"/>
      <c r="F38" s="24" t="inlineStr">
        <is>
          <t>RQ-07</t>
        </is>
      </c>
      <c r="G38" s="9">
        <f>IFERROR(VLOOKUP($A38,'Test Cases'!$A:$X,24,FALSE),"")</f>
        <v/>
      </c>
    </row>
    <row r="39" ht="30" customHeight="1">
      <c r="A39" s="23" t="inlineStr">
        <is>
          <t>SATE-REC-005</t>
        </is>
      </c>
      <c r="B39" s="9" t="inlineStr">
        <is>
          <t>P0</t>
        </is>
      </c>
      <c r="C39" s="25" t="inlineStr">
        <is>
          <t>Recorder Interruption and Local Persistence</t>
        </is>
      </c>
      <c r="D39" s="25" t="inlineStr">
        <is>
          <t>Local storage becomes full during recording</t>
        </is>
      </c>
      <c r="E39" s="25" t="inlineStr"/>
      <c r="F39" s="24" t="inlineStr">
        <is>
          <t>RQ-06</t>
        </is>
      </c>
      <c r="G39" s="9">
        <f>IFERROR(VLOOKUP($A39,'Test Cases'!$A:$X,24,FALSE),"")</f>
        <v/>
      </c>
    </row>
    <row r="40" ht="30" customHeight="1">
      <c r="A40" s="23" t="inlineStr">
        <is>
          <t>SATE-REC-006</t>
        </is>
      </c>
      <c r="B40" s="9" t="inlineStr">
        <is>
          <t>P0</t>
        </is>
      </c>
      <c r="C40" s="25" t="inlineStr">
        <is>
          <t>Recorder Interruption and Local Persistence</t>
        </is>
      </c>
      <c r="D40" s="25" t="inlineStr">
        <is>
          <t>Restart during the local save/finalization step</t>
        </is>
      </c>
      <c r="E40" s="25" t="inlineStr"/>
      <c r="F40" s="24" t="inlineStr">
        <is>
          <t>RQ-06</t>
        </is>
      </c>
      <c r="G40" s="9">
        <f>IFERROR(VLOOKUP($A40,'Test Cases'!$A:$X,24,FALSE),"")</f>
        <v/>
      </c>
    </row>
    <row r="41" ht="30" customHeight="1">
      <c r="A41" s="23" t="inlineStr">
        <is>
          <t>SATE-REC-007</t>
        </is>
      </c>
      <c r="B41" s="9" t="inlineStr">
        <is>
          <t>P0</t>
        </is>
      </c>
      <c r="C41" s="25" t="inlineStr">
        <is>
          <t>Recorder Interruption and Local Persistence</t>
        </is>
      </c>
      <c r="D41" s="25" t="inlineStr">
        <is>
          <t>Restart after recording stops but before upload begins</t>
        </is>
      </c>
      <c r="E41" s="25" t="inlineStr"/>
      <c r="F41" s="24" t="inlineStr"/>
      <c r="G41" s="9">
        <f>IFERROR(VLOOKUP($A41,'Test Cases'!$A:$X,24,FALSE),"")</f>
        <v/>
      </c>
    </row>
    <row r="42" ht="30" customHeight="1">
      <c r="A42" s="23" t="inlineStr">
        <is>
          <t>SATE-SEC-002</t>
        </is>
      </c>
      <c r="B42" s="9" t="inlineStr">
        <is>
          <t>P0</t>
        </is>
      </c>
      <c r="C42" s="25" t="inlineStr">
        <is>
          <t>Security, Privacy, and Data Isolation</t>
        </is>
      </c>
      <c r="D42" s="25" t="inlineStr">
        <is>
          <t>Direct URL or session-ID manipulation</t>
        </is>
      </c>
      <c r="E42" s="25" t="inlineStr"/>
      <c r="F42" s="24" t="inlineStr"/>
      <c r="G42" s="9">
        <f>IFERROR(VLOOKUP($A42,'Test Cases'!$A:$X,24,FALSE),"")</f>
        <v/>
      </c>
    </row>
    <row r="43" ht="30" customHeight="1">
      <c r="A43" s="23" t="inlineStr">
        <is>
          <t>SATE-SEC-003</t>
        </is>
      </c>
      <c r="B43" s="9" t="inlineStr">
        <is>
          <t>P0</t>
        </is>
      </c>
      <c r="C43" s="25" t="inlineStr">
        <is>
          <t>Security, Privacy, and Data Isolation</t>
        </is>
      </c>
      <c r="D43" s="25" t="inlineStr">
        <is>
          <t>Logout and token invalidation</t>
        </is>
      </c>
      <c r="E43" s="25" t="inlineStr">
        <is>
          <t>Web app logout and token invalidation only. Skip mobile app logout.</t>
        </is>
      </c>
      <c r="F43" s="24" t="inlineStr"/>
      <c r="G43" s="9">
        <f>IFERROR(VLOOKUP($A43,'Test Cases'!$A:$X,24,FALSE),"")</f>
        <v/>
      </c>
    </row>
    <row r="44" ht="30" customHeight="1">
      <c r="A44" s="23" t="inlineStr">
        <is>
          <t>SATE-SEC-005</t>
        </is>
      </c>
      <c r="B44" s="9" t="inlineStr">
        <is>
          <t>P0</t>
        </is>
      </c>
      <c r="C44" s="25" t="inlineStr">
        <is>
          <t>Security, Privacy, and Data Isolation</t>
        </is>
      </c>
      <c r="D44" s="25" t="inlineStr">
        <is>
          <t>Role-based access to review, edit, export, retry, and administration</t>
        </is>
      </c>
      <c r="E44" s="25" t="inlineStr"/>
      <c r="F44" s="24" t="inlineStr"/>
      <c r="G44" s="9">
        <f>IFERROR(VLOOKUP($A44,'Test Cases'!$A:$X,24,FALSE),"")</f>
        <v/>
      </c>
    </row>
    <row r="45" ht="30" customHeight="1">
      <c r="A45" s="23" t="inlineStr">
        <is>
          <t>SATE-SEC-006</t>
        </is>
      </c>
      <c r="B45" s="9" t="inlineStr">
        <is>
          <t>P0</t>
        </is>
      </c>
      <c r="C45" s="25" t="inlineStr">
        <is>
          <t>Security, Privacy, and Data Isolation</t>
        </is>
      </c>
      <c r="D45" s="25" t="inlineStr">
        <is>
          <t>Signed audio/report URL expiry and sharing</t>
        </is>
      </c>
      <c r="E45" s="25" t="inlineStr"/>
      <c r="F45" s="24" t="inlineStr"/>
      <c r="G45" s="9">
        <f>IFERROR(VLOOKUP($A45,'Test Cases'!$A:$X,24,FALSE),"")</f>
        <v/>
      </c>
    </row>
    <row r="46" ht="30" customHeight="1">
      <c r="A46" s="23" t="inlineStr">
        <is>
          <t>SATE-SEC-007</t>
        </is>
      </c>
      <c r="B46" s="9" t="inlineStr">
        <is>
          <t>P0</t>
        </is>
      </c>
      <c r="C46" s="25" t="inlineStr">
        <is>
          <t>Security, Privacy, and Data Isolation</t>
        </is>
      </c>
      <c r="D46" s="25" t="inlineStr">
        <is>
          <t>Deletion, retention, audit trail, and sensitive logging</t>
        </is>
      </c>
      <c r="E46" s="25" t="inlineStr"/>
      <c r="F46" s="24" t="inlineStr"/>
      <c r="G46" s="9">
        <f>IFERROR(VLOOKUP($A46,'Test Cases'!$A:$X,24,FALSE),"")</f>
        <v/>
      </c>
    </row>
    <row r="47" ht="30" customHeight="1">
      <c r="A47" s="23" t="inlineStr">
        <is>
          <t>SATE-WEB-005</t>
        </is>
      </c>
      <c r="B47" s="9" t="inlineStr">
        <is>
          <t>P0</t>
        </is>
      </c>
      <c r="C47" s="25" t="inlineStr">
        <is>
          <t>Web Transcript Review</t>
        </is>
      </c>
      <c r="D47" s="25" t="inlineStr">
        <is>
          <t>Edit and save transcript with versioning</t>
        </is>
      </c>
      <c r="E47" s="25" t="inlineStr"/>
      <c r="F47" s="24" t="inlineStr">
        <is>
          <t>RQ-15</t>
        </is>
      </c>
      <c r="G47" s="9">
        <f>IFERROR(VLOOKUP($A47,'Test Cases'!$A:$X,24,FALSE),"")</f>
        <v/>
      </c>
    </row>
    <row r="48" ht="30" customHeight="1">
      <c r="A48" s="23" t="inlineStr">
        <is>
          <t>SATE-WEB-006</t>
        </is>
      </c>
      <c r="B48" s="9" t="inlineStr">
        <is>
          <t>P0</t>
        </is>
      </c>
      <c r="C48" s="25" t="inlineStr">
        <is>
          <t>Web Transcript Review</t>
        </is>
      </c>
      <c r="D48" s="25" t="inlineStr">
        <is>
          <t>Save failure and concurrent transcript editing</t>
        </is>
      </c>
      <c r="E48" s="25" t="inlineStr"/>
      <c r="F48" s="24" t="inlineStr">
        <is>
          <t>RQ-15</t>
        </is>
      </c>
      <c r="G48" s="9">
        <f>IFERROR(VLOOKUP($A48,'Test Cases'!$A:$X,24,FALSE),"")</f>
        <v/>
      </c>
    </row>
    <row r="49" ht="30" customHeight="1">
      <c r="A49" s="23" t="inlineStr">
        <is>
          <t>SATE-COMP-003</t>
        </is>
      </c>
      <c r="B49" s="9" t="inlineStr">
        <is>
          <t>P1</t>
        </is>
      </c>
      <c r="C49" s="25" t="inlineStr">
        <is>
          <t>Compatibility and Deployment</t>
        </is>
      </c>
      <c r="D49" s="25" t="inlineStr">
        <is>
          <t>Older app/firmware version against current backend</t>
        </is>
      </c>
      <c r="E49" s="25" t="inlineStr">
        <is>
          <t>Older recorder firmware against the current backend. Skip the older app build.</t>
        </is>
      </c>
      <c r="F49" s="24" t="inlineStr"/>
      <c r="G49" s="9">
        <f>IFERROR(VLOOKUP($A49,'Test Cases'!$A:$X,24,FALSE),"")</f>
        <v/>
      </c>
    </row>
    <row r="50" ht="30" customHeight="1">
      <c r="A50" s="23" t="inlineStr">
        <is>
          <t>SATE-COMP-004</t>
        </is>
      </c>
      <c r="B50" s="9" t="inlineStr">
        <is>
          <t>P1</t>
        </is>
      </c>
      <c r="C50" s="25" t="inlineStr">
        <is>
          <t>Compatibility and Deployment</t>
        </is>
      </c>
      <c r="D50" s="25" t="inlineStr">
        <is>
          <t>Time zone, daylight-saving transition, and device clock skew</t>
        </is>
      </c>
      <c r="E50" s="25" t="inlineStr">
        <is>
          <t>Recorder clock and stored timestamps. Skip phone clock skew.</t>
        </is>
      </c>
      <c r="F50" s="24" t="inlineStr"/>
      <c r="G50" s="9">
        <f>IFERROR(VLOOKUP($A50,'Test Cases'!$A:$X,24,FALSE),"")</f>
        <v/>
      </c>
    </row>
    <row r="51" ht="30" customHeight="1">
      <c r="A51" s="23" t="inlineStr">
        <is>
          <t>SATE-E2E-002</t>
        </is>
      </c>
      <c r="B51" s="9" t="inlineStr">
        <is>
          <t>P1</t>
        </is>
      </c>
      <c r="C51" s="25" t="inlineStr">
        <is>
          <t>End-to-End Recording and Sync</t>
        </is>
      </c>
      <c r="D51" s="25" t="inlineStr">
        <is>
          <t>Very short recording near the minimum supported duration</t>
        </is>
      </c>
      <c r="E51" s="25" t="inlineStr"/>
      <c r="F51" s="24" t="inlineStr">
        <is>
          <t>RQ-07</t>
        </is>
      </c>
      <c r="G51" s="9">
        <f>IFERROR(VLOOKUP($A51,'Test Cases'!$A:$X,24,FALSE),"")</f>
        <v/>
      </c>
    </row>
    <row r="52" ht="30" customHeight="1">
      <c r="A52" s="23" t="inlineStr">
        <is>
          <t>SATE-E2E-003</t>
        </is>
      </c>
      <c r="B52" s="9" t="inlineStr">
        <is>
          <t>P1</t>
        </is>
      </c>
      <c r="C52" s="25" t="inlineStr">
        <is>
          <t>End-to-End Recording and Sync</t>
        </is>
      </c>
      <c r="D52" s="25" t="inlineStr">
        <is>
          <t>Silent or near-silent recording</t>
        </is>
      </c>
      <c r="E52" s="25" t="inlineStr"/>
      <c r="F52" s="24" t="inlineStr">
        <is>
          <t>RQ-20</t>
        </is>
      </c>
      <c r="G52" s="9">
        <f>IFERROR(VLOOKUP($A52,'Test Cases'!$A:$X,24,FALSE),"")</f>
        <v/>
      </c>
    </row>
    <row r="53" ht="30" customHeight="1">
      <c r="A53" s="23" t="inlineStr">
        <is>
          <t>SATE-E2E-004</t>
        </is>
      </c>
      <c r="B53" s="9" t="inlineStr">
        <is>
          <t>P1</t>
        </is>
      </c>
      <c r="C53" s="25" t="inlineStr">
        <is>
          <t>End-to-End Recording and Sync</t>
        </is>
      </c>
      <c r="D53" s="25" t="inlineStr">
        <is>
          <t>Noisy recording with multiple speakers and interruptions</t>
        </is>
      </c>
      <c r="E53" s="25" t="inlineStr"/>
      <c r="F53" s="24" t="inlineStr">
        <is>
          <t>RQ-20</t>
        </is>
      </c>
      <c r="G53" s="9">
        <f>IFERROR(VLOOKUP($A53,'Test Cases'!$A:$X,24,FALSE),"")</f>
        <v/>
      </c>
    </row>
    <row r="54" ht="30" customHeight="1">
      <c r="A54" s="23" t="inlineStr">
        <is>
          <t>SATE-LONG-006</t>
        </is>
      </c>
      <c r="B54" s="9" t="inlineStr">
        <is>
          <t>P1</t>
        </is>
      </c>
      <c r="C54" s="25" t="inlineStr">
        <is>
          <t>Long Session and Performance</t>
        </is>
      </c>
      <c r="D54" s="25" t="inlineStr">
        <is>
          <t>Battery, temperature, memory, storage, and processing-time observation</t>
        </is>
      </c>
      <c r="E54" s="25" t="inlineStr">
        <is>
          <t>Recorder battery, temperature, storage and backend processing time. Skip phone metrics.</t>
        </is>
      </c>
      <c r="F54" s="24" t="inlineStr">
        <is>
          <t>RQ-20</t>
        </is>
      </c>
      <c r="G54" s="9">
        <f>IFERROR(VLOOKUP($A54,'Test Cases'!$A:$X,24,FALSE),"")</f>
        <v/>
      </c>
    </row>
    <row r="55" ht="30" customHeight="1">
      <c r="A55" s="23" t="inlineStr">
        <is>
          <t>SATE-NET-006</t>
        </is>
      </c>
      <c r="B55" s="9" t="inlineStr">
        <is>
          <t>P1</t>
        </is>
      </c>
      <c r="C55" s="25" t="inlineStr">
        <is>
          <t>Network, Offline, and Upload Recovery</t>
        </is>
      </c>
      <c r="D55" s="25" t="inlineStr">
        <is>
          <t>Wi-Fi is connected but Internet access is unavailable</t>
        </is>
      </c>
      <c r="E55" s="25" t="inlineStr">
        <is>
          <t>Recorder's own network detection only. Skip the app's detection.</t>
        </is>
      </c>
      <c r="F55" s="24" t="inlineStr"/>
      <c r="G55" s="9">
        <f>IFERROR(VLOOKUP($A55,'Test Cases'!$A:$X,24,FALSE),"")</f>
        <v/>
      </c>
    </row>
    <row r="56" ht="30" customHeight="1">
      <c r="A56" s="23" t="inlineStr">
        <is>
          <t>SATE-NET-008</t>
        </is>
      </c>
      <c r="B56" s="9" t="inlineStr">
        <is>
          <t>P1</t>
        </is>
      </c>
      <c r="C56" s="25" t="inlineStr">
        <is>
          <t>Network, Offline, and Upload Recovery</t>
        </is>
      </c>
      <c r="D56" s="25" t="inlineStr">
        <is>
          <t>Switch from one Wi-Fi network to another or to a hotspot during upload</t>
        </is>
      </c>
      <c r="E56" s="25" t="inlineStr">
        <is>
          <t>Run the recorder's direct Wi-Fi upload path.</t>
        </is>
      </c>
      <c r="F56" s="24" t="inlineStr">
        <is>
          <t>RQ-09</t>
        </is>
      </c>
      <c r="G56" s="9">
        <f>IFERROR(VLOOKUP($A56,'Test Cases'!$A:$X,24,FALSE),"")</f>
        <v/>
      </c>
    </row>
    <row r="57" ht="30" customHeight="1">
      <c r="A57" s="23" t="inlineStr">
        <is>
          <t>SATE-NET-009</t>
        </is>
      </c>
      <c r="B57" s="9" t="inlineStr">
        <is>
          <t>P1</t>
        </is>
      </c>
      <c r="C57" s="25" t="inlineStr">
        <is>
          <t>Network, Offline, and Upload Recovery</t>
        </is>
      </c>
      <c r="D57" s="25" t="inlineStr">
        <is>
          <t>Rapidly flapping or weak network</t>
        </is>
      </c>
      <c r="E57" s="25" t="inlineStr">
        <is>
          <t>Run the recorder's direct Wi-Fi upload path.</t>
        </is>
      </c>
      <c r="F57" s="24" t="inlineStr">
        <is>
          <t>RQ-09, RQ-20</t>
        </is>
      </c>
      <c r="G57" s="9">
        <f>IFERROR(VLOOKUP($A57,'Test Cases'!$A:$X,24,FALSE),"")</f>
        <v/>
      </c>
    </row>
    <row r="58" ht="30" customHeight="1">
      <c r="A58" s="23" t="inlineStr">
        <is>
          <t>SATE-NET-007</t>
        </is>
      </c>
      <c r="B58" s="9" t="inlineStr">
        <is>
          <t>P2</t>
        </is>
      </c>
      <c r="C58" s="25" t="inlineStr">
        <is>
          <t>Network, Offline, and Upload Recovery</t>
        </is>
      </c>
      <c r="D58" s="25" t="inlineStr">
        <is>
          <t>Captive portal or authentication-required Wi-Fi</t>
        </is>
      </c>
      <c r="E58" s="25" t="inlineStr">
        <is>
          <t>Recorder behind the captive portal only. Skip the app.</t>
        </is>
      </c>
      <c r="F58" s="24" t="inlineStr"/>
      <c r="G58" s="9">
        <f>IFERROR(VLOOKUP($A58,'Test Cases'!$A:$X,24,FALSE),"")</f>
        <v/>
      </c>
    </row>
  </sheetData>
  <autoFilter ref="A4:G58"/>
  <mergeCells count="1">
    <mergeCell ref="A2:G2"/>
  </mergeCells>
  <conditionalFormatting sqref="A5:G58">
    <cfRule type="expression" priority="1" dxfId="3">
      <formula>$G5="Fail"</formula>
    </cfRule>
    <cfRule type="expression" priority="2" dxfId="4">
      <formula>$G5="Pass"</formula>
    </cfRule>
    <cfRule type="expression" priority="3" dxfId="5">
      <formula>$G5="Blocked"</formula>
    </cfRule>
  </conditionalFormatting>
  <conditionalFormatting sqref="B5:B58">
    <cfRule type="cellIs" priority="4" operator="equal" dxfId="7">
      <formula>"P0"</formula>
    </cfRule>
  </conditionalFormatting>
  <conditionalFormatting sqref="F5:F58">
    <cfRule type="expression" priority="5" dxfId="6">
      <formula>LEN($F5)&gt;0</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9"/>
  <sheetViews>
    <sheetView showGridLines="0" workbookViewId="0">
      <pane ySplit="4" topLeftCell="A5" activePane="bottomLeft" state="frozen"/>
      <selection pane="bottomLeft" activeCell="A1" sqref="A1"/>
    </sheetView>
  </sheetViews>
  <sheetFormatPr baseColWidth="8" defaultRowHeight="15"/>
  <cols>
    <col width="15" customWidth="1" min="1" max="1"/>
    <col width="9" customWidth="1" min="2" max="2"/>
    <col width="32" customWidth="1" min="3" max="3"/>
    <col width="50" customWidth="1" min="4" max="4"/>
    <col width="24" customWidth="1" min="5" max="5"/>
    <col width="78" customWidth="1" min="6" max="6"/>
  </cols>
  <sheetData>
    <row r="1">
      <c r="A1" s="1" t="inlineStr">
        <is>
          <t>Deferred — not part of this run</t>
        </is>
      </c>
    </row>
    <row r="2">
      <c r="A2" s="2" t="inlineStr">
        <is>
          <t>The mobile app and the pendant are not being tested right now. These cases are parked, not deleted — put them back by editing doc/testdata/test-scope.json.</t>
        </is>
      </c>
    </row>
    <row r="4" ht="30" customHeight="1">
      <c r="A4" s="22" t="inlineStr">
        <is>
          <t>TC ID</t>
        </is>
      </c>
      <c r="B4" s="22" t="inlineStr">
        <is>
          <t>Priority</t>
        </is>
      </c>
      <c r="C4" s="22" t="inlineStr">
        <is>
          <t>Category</t>
        </is>
      </c>
      <c r="D4" s="22" t="inlineStr">
        <is>
          <t>Test Case Title</t>
        </is>
      </c>
      <c r="E4" s="22" t="inlineStr">
        <is>
          <t>Deferred because</t>
        </is>
      </c>
      <c r="F4" s="22" t="inlineStr">
        <is>
          <t>Why it is safe to defer</t>
        </is>
      </c>
    </row>
    <row r="5" ht="30" customHeight="1">
      <c r="A5" s="23" t="inlineStr">
        <is>
          <t>SATE-APP-001</t>
        </is>
      </c>
      <c r="B5" s="9" t="inlineStr">
        <is>
          <t>P0</t>
        </is>
      </c>
      <c r="C5" s="25" t="inlineStr">
        <is>
          <t>Mobile App Lifecycle and Authentication</t>
        </is>
      </c>
      <c r="D5" s="25" t="inlineStr">
        <is>
          <t>App moves to background during an active recording</t>
        </is>
      </c>
      <c r="E5" s="24" t="inlineStr">
        <is>
          <t>mobile app</t>
        </is>
      </c>
      <c r="F5" s="25" t="inlineStr">
        <is>
          <t>The mobile app is not in scope.</t>
        </is>
      </c>
    </row>
    <row r="6" ht="30" customHeight="1">
      <c r="A6" s="23" t="inlineStr">
        <is>
          <t>SATE-APP-002</t>
        </is>
      </c>
      <c r="B6" s="9" t="inlineStr">
        <is>
          <t>P0</t>
        </is>
      </c>
      <c r="C6" s="25" t="inlineStr">
        <is>
          <t>Mobile App Lifecycle and Authentication</t>
        </is>
      </c>
      <c r="D6" s="25" t="inlineStr">
        <is>
          <t>App is force-closed during recording</t>
        </is>
      </c>
      <c r="E6" s="24" t="inlineStr">
        <is>
          <t>mobile app</t>
        </is>
      </c>
      <c r="F6" s="25" t="inlineStr">
        <is>
          <t>The mobile app is not in scope.</t>
        </is>
      </c>
    </row>
    <row r="7" ht="30" customHeight="1">
      <c r="A7" s="23" t="inlineStr">
        <is>
          <t>SATE-APP-003</t>
        </is>
      </c>
      <c r="B7" s="9" t="inlineStr">
        <is>
          <t>P0</t>
        </is>
      </c>
      <c r="C7" s="25" t="inlineStr">
        <is>
          <t>Mobile App Lifecycle and Authentication</t>
        </is>
      </c>
      <c r="D7" s="25" t="inlineStr">
        <is>
          <t>App is force-closed during upload</t>
        </is>
      </c>
      <c r="E7" s="24" t="inlineStr">
        <is>
          <t>mobile app</t>
        </is>
      </c>
      <c r="F7" s="25" t="inlineStr">
        <is>
          <t>The mobile app is not in scope.</t>
        </is>
      </c>
    </row>
    <row r="8" ht="30" customHeight="1">
      <c r="A8" s="23" t="inlineStr">
        <is>
          <t>SATE-APP-004</t>
        </is>
      </c>
      <c r="B8" s="9" t="inlineStr">
        <is>
          <t>P0</t>
        </is>
      </c>
      <c r="C8" s="25" t="inlineStr">
        <is>
          <t>Mobile App Lifecycle and Authentication</t>
        </is>
      </c>
      <c r="D8" s="25" t="inlineStr">
        <is>
          <t>Phone restarts during upload</t>
        </is>
      </c>
      <c r="E8" s="24" t="inlineStr">
        <is>
          <t>mobile app</t>
        </is>
      </c>
      <c r="F8" s="25" t="inlineStr">
        <is>
          <t>The mobile app is not in scope.</t>
        </is>
      </c>
    </row>
    <row r="9" ht="30" customHeight="1">
      <c r="A9" s="23" t="inlineStr">
        <is>
          <t>SATE-APP-005</t>
        </is>
      </c>
      <c r="B9" s="9" t="inlineStr">
        <is>
          <t>P0</t>
        </is>
      </c>
      <c r="C9" s="25" t="inlineStr">
        <is>
          <t>Mobile App Lifecycle and Authentication</t>
        </is>
      </c>
      <c r="D9" s="25" t="inlineStr">
        <is>
          <t>Authentication token expires during upload or processing</t>
        </is>
      </c>
      <c r="E9" s="24" t="inlineStr">
        <is>
          <t>mobile app</t>
        </is>
      </c>
      <c r="F9" s="25" t="inlineStr">
        <is>
          <t>The mobile app is not in scope.</t>
        </is>
      </c>
    </row>
    <row r="10" ht="30" customHeight="1">
      <c r="A10" s="23" t="inlineStr">
        <is>
          <t>SATE-APP-006</t>
        </is>
      </c>
      <c r="B10" s="9" t="inlineStr">
        <is>
          <t>P0</t>
        </is>
      </c>
      <c r="C10" s="25" t="inlineStr">
        <is>
          <t>Mobile App Lifecycle and Authentication</t>
        </is>
      </c>
      <c r="D10" s="25" t="inlineStr">
        <is>
          <t>User logs out while sessions are pending upload</t>
        </is>
      </c>
      <c r="E10" s="24" t="inlineStr">
        <is>
          <t>mobile app</t>
        </is>
      </c>
      <c r="F10" s="25" t="inlineStr">
        <is>
          <t>The mobile app is not in scope.</t>
        </is>
      </c>
    </row>
    <row r="11" ht="30" customHeight="1">
      <c r="A11" s="23" t="inlineStr">
        <is>
          <t>SATE-APP-007</t>
        </is>
      </c>
      <c r="B11" s="9" t="inlineStr">
        <is>
          <t>P0</t>
        </is>
      </c>
      <c r="C11" s="25" t="inlineStr">
        <is>
          <t>Mobile App Lifecycle and Authentication</t>
        </is>
      </c>
      <c r="D11" s="25" t="inlineStr">
        <is>
          <t>Different user logs in while prior user's session remains pending</t>
        </is>
      </c>
      <c r="E11" s="24" t="inlineStr">
        <is>
          <t>mobile app</t>
        </is>
      </c>
      <c r="F11" s="25" t="inlineStr">
        <is>
          <t>The mobile app is not in scope.</t>
        </is>
      </c>
    </row>
    <row r="12" ht="30" customHeight="1">
      <c r="A12" s="23" t="inlineStr">
        <is>
          <t>SATE-BLE-001</t>
        </is>
      </c>
      <c r="B12" s="9" t="inlineStr">
        <is>
          <t>P0</t>
        </is>
      </c>
      <c r="C12" s="25" t="inlineStr">
        <is>
          <t>BLE and Device Connectivity</t>
        </is>
      </c>
      <c r="D12" s="25" t="inlineStr">
        <is>
          <t>First-time BLE pairing and device assignment</t>
        </is>
      </c>
      <c r="E12" s="24" t="inlineStr">
        <is>
          <t>pendant / BLE</t>
        </is>
      </c>
      <c r="F12" s="25" t="inlineStr">
        <is>
          <t>The pendant / BLE accessory is not in scope.</t>
        </is>
      </c>
    </row>
    <row r="13" ht="30" customHeight="1">
      <c r="A13" s="23" t="inlineStr">
        <is>
          <t>SATE-BLE-006</t>
        </is>
      </c>
      <c r="B13" s="9" t="inlineStr">
        <is>
          <t>P0</t>
        </is>
      </c>
      <c r="C13" s="25" t="inlineStr">
        <is>
          <t>BLE and Device Connectivity</t>
        </is>
      </c>
      <c r="D13" s="25" t="inlineStr">
        <is>
          <t>Bluetooth disabled or permission revoked</t>
        </is>
      </c>
      <c r="E13" s="24" t="inlineStr">
        <is>
          <t>pendant / BLE</t>
        </is>
      </c>
      <c r="F13" s="25" t="inlineStr">
        <is>
          <t>The pendant / BLE accessory is not in scope.</t>
        </is>
      </c>
    </row>
    <row r="14" ht="30" customHeight="1">
      <c r="A14" s="23" t="inlineStr">
        <is>
          <t>SATE-BLE-007</t>
        </is>
      </c>
      <c r="B14" s="9" t="inlineStr">
        <is>
          <t>P0</t>
        </is>
      </c>
      <c r="C14" s="25" t="inlineStr">
        <is>
          <t>BLE and Device Connectivity</t>
        </is>
      </c>
      <c r="D14" s="25" t="inlineStr">
        <is>
          <t>BLE disconnects during recording and later reconnects</t>
        </is>
      </c>
      <c r="E14" s="24" t="inlineStr">
        <is>
          <t>pendant / BLE</t>
        </is>
      </c>
      <c r="F14" s="25" t="inlineStr">
        <is>
          <t>The pendant / BLE accessory is not in scope.</t>
        </is>
      </c>
    </row>
    <row r="15" ht="30" customHeight="1">
      <c r="A15" s="23" t="inlineStr">
        <is>
          <t>SATE-BLE-008</t>
        </is>
      </c>
      <c r="B15" s="9" t="inlineStr">
        <is>
          <t>P0</t>
        </is>
      </c>
      <c r="C15" s="25" t="inlineStr">
        <is>
          <t>BLE and Device Connectivity</t>
        </is>
      </c>
      <c r="D15" s="25" t="inlineStr">
        <is>
          <t>BLE accessory battery is depleted during recording</t>
        </is>
      </c>
      <c r="E15" s="24" t="inlineStr">
        <is>
          <t>pendant / BLE</t>
        </is>
      </c>
      <c r="F15" s="25" t="inlineStr">
        <is>
          <t>The pendant / BLE accessory is not in scope.</t>
        </is>
      </c>
    </row>
    <row r="16" ht="30" customHeight="1">
      <c r="A16" s="23" t="inlineStr">
        <is>
          <t>SATE-LONG-005</t>
        </is>
      </c>
      <c r="B16" s="9" t="inlineStr">
        <is>
          <t>P0</t>
        </is>
      </c>
      <c r="C16" s="25" t="inlineStr">
        <is>
          <t>Long Session and Performance</t>
        </is>
      </c>
      <c r="D16" s="25" t="inlineStr">
        <is>
          <t>Phone locks or mobile app remains in background during a long recording</t>
        </is>
      </c>
      <c r="E16" s="24" t="inlineStr">
        <is>
          <t>mobile app</t>
        </is>
      </c>
      <c r="F16" s="25" t="inlineStr">
        <is>
          <t>Phone lock and app backgrounding during a long recording. The recorder records standalone over Wi-Fi, so nothing here applies to the in-scope path.</t>
        </is>
      </c>
    </row>
    <row r="17" ht="30" customHeight="1">
      <c r="A17" s="23" t="inlineStr">
        <is>
          <t>SATE-QUE-006</t>
        </is>
      </c>
      <c r="B17" s="9" t="inlineStr">
        <is>
          <t>P0</t>
        </is>
      </c>
      <c r="C17" s="25" t="inlineStr">
        <is>
          <t>Queue, Batch, and Concurrency</t>
        </is>
      </c>
      <c r="D17" s="25" t="inlineStr">
        <is>
          <t>Same recording reaches backend through direct Wi-Fi and mobile-app paths</t>
        </is>
      </c>
      <c r="E17" s="24" t="inlineStr">
        <is>
          <t>mobile app</t>
        </is>
      </c>
      <c r="F17" s="25" t="inlineStr">
        <is>
          <t>This case exists to prove the two delivery paths deduplicate. With the mobile app out of scope there is only one path in use, so the duplicate-session risk cannot materialise — but the gap it was written to catch (no database unique constraint behind the dedup probe) stays unproven. Run it before the app ships.</t>
        </is>
      </c>
    </row>
    <row r="18" ht="30" customHeight="1">
      <c r="A18" s="23" t="inlineStr">
        <is>
          <t>SATE-SEC-004</t>
        </is>
      </c>
      <c r="B18" s="9" t="inlineStr">
        <is>
          <t>P0</t>
        </is>
      </c>
      <c r="C18" s="25" t="inlineStr">
        <is>
          <t>Security, Privacy, and Data Isolation</t>
        </is>
      </c>
      <c r="D18" s="25" t="inlineStr">
        <is>
          <t>Pending local session remains isolated during account switch</t>
        </is>
      </c>
      <c r="E18" s="24" t="inlineStr">
        <is>
          <t>mobile app</t>
        </is>
      </c>
      <c r="F18" s="25" t="inlineStr">
        <is>
          <t>Pending-session isolation across an account switch is purely mobile-app local storage.</t>
        </is>
      </c>
    </row>
    <row r="19" ht="30" customHeight="1">
      <c r="A19" s="23" t="inlineStr">
        <is>
          <t>SATE-APP-008</t>
        </is>
      </c>
      <c r="B19" s="9" t="inlineStr">
        <is>
          <t>P1</t>
        </is>
      </c>
      <c r="C19" s="25" t="inlineStr">
        <is>
          <t>Mobile App Lifecycle and Authentication</t>
        </is>
      </c>
      <c r="D19" s="25" t="inlineStr">
        <is>
          <t>App update or reinstall when unsynced sessions exist</t>
        </is>
      </c>
      <c r="E19" s="24" t="inlineStr">
        <is>
          <t>mobile app</t>
        </is>
      </c>
      <c r="F19" s="25" t="inlineStr">
        <is>
          <t>The mobile app is not in scope.</t>
        </is>
      </c>
    </row>
    <row r="20" ht="30" customHeight="1">
      <c r="A20" s="23" t="inlineStr">
        <is>
          <t>SATE-BLE-002</t>
        </is>
      </c>
      <c r="B20" s="9" t="inlineStr">
        <is>
          <t>P1</t>
        </is>
      </c>
      <c r="C20" s="25" t="inlineStr">
        <is>
          <t>BLE and Device Connectivity</t>
        </is>
      </c>
      <c r="D20" s="25" t="inlineStr">
        <is>
          <t>Automatic reconnect after mobile app restart</t>
        </is>
      </c>
      <c r="E20" s="24" t="inlineStr">
        <is>
          <t>pendant / BLE</t>
        </is>
      </c>
      <c r="F20" s="25" t="inlineStr">
        <is>
          <t>The pendant / BLE accessory is not in scope.</t>
        </is>
      </c>
    </row>
    <row r="21" ht="30" customHeight="1">
      <c r="A21" s="23" t="inlineStr">
        <is>
          <t>SATE-BLE-003</t>
        </is>
      </c>
      <c r="B21" s="9" t="inlineStr">
        <is>
          <t>P1</t>
        </is>
      </c>
      <c r="C21" s="25" t="inlineStr">
        <is>
          <t>BLE and Device Connectivity</t>
        </is>
      </c>
      <c r="D21" s="25" t="inlineStr">
        <is>
          <t>User selects the wrong BLE device</t>
        </is>
      </c>
      <c r="E21" s="24" t="inlineStr">
        <is>
          <t>pendant / BLE</t>
        </is>
      </c>
      <c r="F21" s="25" t="inlineStr">
        <is>
          <t>The pendant / BLE accessory is not in scope.</t>
        </is>
      </c>
    </row>
    <row r="22" ht="30" customHeight="1">
      <c r="A22" s="23" t="inlineStr">
        <is>
          <t>SATE-BLE-004</t>
        </is>
      </c>
      <c r="B22" s="9" t="inlineStr">
        <is>
          <t>P1</t>
        </is>
      </c>
      <c r="C22" s="25" t="inlineStr">
        <is>
          <t>BLE and Device Connectivity</t>
        </is>
      </c>
      <c r="D22" s="25" t="inlineStr">
        <is>
          <t>Multiple nearby BLE devices during discovery and reconnect</t>
        </is>
      </c>
      <c r="E22" s="24" t="inlineStr">
        <is>
          <t>pendant / BLE</t>
        </is>
      </c>
      <c r="F22" s="25" t="inlineStr">
        <is>
          <t>The pendant / BLE accessory is not in scope.</t>
        </is>
      </c>
    </row>
    <row r="23" ht="30" customHeight="1">
      <c r="A23" s="23" t="inlineStr">
        <is>
          <t>SATE-BLE-005</t>
        </is>
      </c>
      <c r="B23" s="9" t="inlineStr">
        <is>
          <t>P1</t>
        </is>
      </c>
      <c r="C23" s="25" t="inlineStr">
        <is>
          <t>BLE and Device Connectivity</t>
        </is>
      </c>
      <c r="D23" s="25" t="inlineStr">
        <is>
          <t>BLE device is already connected to another phone</t>
        </is>
      </c>
      <c r="E23" s="24" t="inlineStr">
        <is>
          <t>pendant / BLE</t>
        </is>
      </c>
      <c r="F23" s="25" t="inlineStr">
        <is>
          <t>The pendant / BLE accessory is not in scope.</t>
        </is>
      </c>
    </row>
    <row r="24" ht="30" customHeight="1">
      <c r="A24" s="23" t="inlineStr">
        <is>
          <t>SATE-COMP-001</t>
        </is>
      </c>
      <c r="B24" s="9" t="inlineStr">
        <is>
          <t>P1</t>
        </is>
      </c>
      <c r="C24" s="25" t="inlineStr">
        <is>
          <t>Compatibility and Deployment</t>
        </is>
      </c>
      <c r="D24" s="25" t="inlineStr">
        <is>
          <t>Supported iOS and Android versions and representative devices</t>
        </is>
      </c>
      <c r="E24" s="24" t="inlineStr">
        <is>
          <t>mobile app</t>
        </is>
      </c>
      <c r="F24" s="25" t="inlineStr">
        <is>
          <t>iOS / Android version matrix.</t>
        </is>
      </c>
    </row>
    <row r="25" ht="30" customHeight="1">
      <c r="A25" s="23" t="inlineStr">
        <is>
          <t>SATE-COMP-005</t>
        </is>
      </c>
      <c r="B25" s="9" t="inlineStr">
        <is>
          <t>P1</t>
        </is>
      </c>
      <c r="C25" s="25" t="inlineStr">
        <is>
          <t>Compatibility and Deployment</t>
        </is>
      </c>
      <c r="D25" s="25" t="inlineStr">
        <is>
          <t>Low-end device and degraded network performance</t>
        </is>
      </c>
      <c r="E25" s="24" t="inlineStr">
        <is>
          <t>mobile app</t>
        </is>
      </c>
      <c r="F25" s="25" t="inlineStr">
        <is>
          <t>Low-end phone performance.</t>
        </is>
      </c>
    </row>
    <row r="28">
      <c r="A28" s="31" t="inlineStr">
        <is>
          <t>COVERAGE LOST BY DEFERRING</t>
        </is>
      </c>
    </row>
    <row r="29" ht="42" customHeight="1">
      <c r="A29" s="32" t="inlineStr">
        <is>
          <t>RQ-22</t>
        </is>
      </c>
      <c r="B29" s="5" t="inlineStr">
        <is>
          <t>Pending data during logout/account switch [Required] — Every case covering this requirement is a mobile-app case. Deferring the app leaves a REQUIRED requirement with zero test coverage. Acceptable only while the app is not shipping.</t>
        </is>
      </c>
    </row>
  </sheetData>
  <autoFilter ref="A4:F25"/>
  <mergeCells count="2">
    <mergeCell ref="A2:F2"/>
    <mergeCell ref="B29:F29"/>
  </mergeCells>
  <conditionalFormatting sqref="B5:B25">
    <cfRule type="cellIs" priority="1" operator="equal" dxfId="7">
      <formula>"P0"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88" customWidth="1" min="3" max="3"/>
    <col width="11" customWidth="1" min="4" max="4"/>
    <col width="16" customWidth="1" min="5" max="5"/>
    <col width="40" customWidth="1" min="6" max="6"/>
  </cols>
  <sheetData>
    <row r="1" ht="30" customHeight="1">
      <c r="A1" s="22" t="inlineStr">
        <is>
          <t>Area</t>
        </is>
      </c>
      <c r="B1" s="22" t="inlineStr">
        <is>
          <t>Test Item</t>
        </is>
      </c>
      <c r="C1" s="22" t="inlineStr">
        <is>
          <t>Recommended Setup / Use</t>
        </is>
      </c>
      <c r="D1" s="22" t="inlineStr">
        <is>
          <t>Ready?</t>
        </is>
      </c>
      <c r="E1" s="22" t="inlineStr">
        <is>
          <t>Owner</t>
        </is>
      </c>
      <c r="F1" s="22" t="inlineStr">
        <is>
          <t>Notes</t>
        </is>
      </c>
    </row>
    <row r="2" ht="32" customHeight="1">
      <c r="A2" s="24" t="inlineStr">
        <is>
          <t>Accounts / Roles</t>
        </is>
      </c>
      <c r="B2" s="25" t="inlineStr">
        <is>
          <t>User A - Clinician/Editor</t>
        </is>
      </c>
      <c r="C2" s="25" t="inlineStr">
        <is>
          <t>Owns Sessions A1-A5; may review/edit/export/retry as approved.</t>
        </is>
      </c>
      <c r="D2" s="24" t="inlineStr">
        <is>
          <t>No</t>
        </is>
      </c>
      <c r="E2" s="24" t="inlineStr"/>
      <c r="F2" s="25" t="inlineStr"/>
    </row>
    <row r="3" ht="32" customHeight="1">
      <c r="A3" s="24" t="inlineStr">
        <is>
          <t>Accounts / Roles</t>
        </is>
      </c>
      <c r="B3" s="25" t="inlineStr">
        <is>
          <t>User B - Clinician/Editor</t>
        </is>
      </c>
      <c r="C3" s="25" t="inlineStr">
        <is>
          <t>Owns Sessions B1-B5; used for data-isolation tests.</t>
        </is>
      </c>
      <c r="D3" s="24" t="inlineStr">
        <is>
          <t>No</t>
        </is>
      </c>
      <c r="E3" s="24" t="inlineStr"/>
      <c r="F3" s="25" t="inlineStr"/>
    </row>
    <row r="4" ht="32" customHeight="1">
      <c r="A4" s="24" t="inlineStr">
        <is>
          <t>Accounts / Roles</t>
        </is>
      </c>
      <c r="B4" s="25" t="inlineStr">
        <is>
          <t>Viewer</t>
        </is>
      </c>
      <c r="C4" s="25" t="inlineStr">
        <is>
          <t>Read-only access if this role exists.</t>
        </is>
      </c>
      <c r="D4" s="24" t="inlineStr">
        <is>
          <t>No</t>
        </is>
      </c>
      <c r="E4" s="24" t="inlineStr"/>
      <c r="F4" s="25" t="inlineStr"/>
    </row>
    <row r="5" ht="32" customHeight="1">
      <c r="A5" s="24" t="inlineStr">
        <is>
          <t>Accounts / Roles</t>
        </is>
      </c>
      <c r="B5" s="25" t="inlineStr">
        <is>
          <t>Admin</t>
        </is>
      </c>
      <c r="C5" s="25" t="inlineStr">
        <is>
          <t>Administrative/reprocess access if this role exists.</t>
        </is>
      </c>
      <c r="D5" s="24" t="inlineStr">
        <is>
          <t>No</t>
        </is>
      </c>
      <c r="E5" s="24" t="inlineStr"/>
      <c r="F5" s="25" t="inlineStr"/>
    </row>
    <row r="6" ht="32" customHeight="1">
      <c r="A6" s="24" t="inlineStr">
        <is>
          <t>Recorder / Accessories</t>
        </is>
      </c>
      <c r="B6" s="25" t="inlineStr">
        <is>
          <t>Recorder R1 and R2</t>
        </is>
      </c>
      <c r="C6" s="25" t="inlineStr">
        <is>
          <t>Record serial number, firmware version, assigned account, battery health, and storage capacity.</t>
        </is>
      </c>
      <c r="D6" s="24" t="inlineStr">
        <is>
          <t>No</t>
        </is>
      </c>
      <c r="E6" s="24" t="inlineStr"/>
      <c r="F6" s="25" t="inlineStr"/>
    </row>
    <row r="7" ht="32" customHeight="1">
      <c r="A7" s="24" t="inlineStr">
        <is>
          <t>Recorder / Accessories</t>
        </is>
      </c>
      <c r="B7" s="25" t="inlineStr">
        <is>
          <t>BLE Device A and B</t>
        </is>
      </c>
      <c r="C7" s="25" t="inlineStr">
        <is>
          <t>Use clearly labeled physical devices with known IDs; test separately and in crowded discovery.</t>
        </is>
      </c>
      <c r="D7" s="24" t="inlineStr">
        <is>
          <t>No</t>
        </is>
      </c>
      <c r="E7" s="24" t="inlineStr"/>
      <c r="F7" s="25" t="inlineStr"/>
    </row>
    <row r="8" ht="32" customHeight="1">
      <c r="A8" s="24" t="inlineStr">
        <is>
          <t>Phones</t>
        </is>
      </c>
      <c r="B8" s="25" t="inlineStr">
        <is>
          <t>Oldest supported iPhone</t>
        </is>
      </c>
      <c r="C8" s="25" t="inlineStr">
        <is>
          <t>Record iOS version, app version, free storage, battery settings, and background permissions.</t>
        </is>
      </c>
      <c r="D8" s="24" t="inlineStr">
        <is>
          <t>No</t>
        </is>
      </c>
      <c r="E8" s="24" t="inlineStr"/>
      <c r="F8" s="25" t="inlineStr"/>
    </row>
    <row r="9" ht="32" customHeight="1">
      <c r="A9" s="24" t="inlineStr">
        <is>
          <t>Phones</t>
        </is>
      </c>
      <c r="B9" s="25" t="inlineStr">
        <is>
          <t>Current iPhone</t>
        </is>
      </c>
      <c r="C9" s="25" t="inlineStr">
        <is>
          <t>Use for normal and background/lock tests.</t>
        </is>
      </c>
      <c r="D9" s="24" t="inlineStr">
        <is>
          <t>No</t>
        </is>
      </c>
      <c r="E9" s="24" t="inlineStr"/>
      <c r="F9" s="25" t="inlineStr"/>
    </row>
    <row r="10" ht="32" customHeight="1">
      <c r="A10" s="24" t="inlineStr">
        <is>
          <t>Phones</t>
        </is>
      </c>
      <c r="B10" s="25" t="inlineStr">
        <is>
          <t>Low-end supported Android</t>
        </is>
      </c>
      <c r="C10" s="25" t="inlineStr">
        <is>
          <t>Use for minimum-hardware, memory, battery-saver, and degraded-network tests.</t>
        </is>
      </c>
      <c r="D10" s="24" t="inlineStr">
        <is>
          <t>No</t>
        </is>
      </c>
      <c r="E10" s="24" t="inlineStr"/>
      <c r="F10" s="25" t="inlineStr"/>
    </row>
    <row r="11" ht="32" customHeight="1">
      <c r="A11" s="24" t="inlineStr">
        <is>
          <t>Phones</t>
        </is>
      </c>
      <c r="B11" s="25" t="inlineStr">
        <is>
          <t>Current Android flagship</t>
        </is>
      </c>
      <c r="C11" s="25" t="inlineStr">
        <is>
          <t>Use for normal reference tests.</t>
        </is>
      </c>
      <c r="D11" s="24" t="inlineStr">
        <is>
          <t>No</t>
        </is>
      </c>
      <c r="E11" s="24" t="inlineStr"/>
      <c r="F11" s="25" t="inlineStr"/>
    </row>
    <row r="12" ht="32" customHeight="1">
      <c r="A12" s="24" t="inlineStr">
        <is>
          <t>Browsers</t>
        </is>
      </c>
      <c r="B12" s="25" t="inlineStr">
        <is>
          <t>Chrome / Edge / Safari</t>
        </is>
      </c>
      <c r="C12" s="25" t="inlineStr">
        <is>
          <t>Record exact version and operating system.</t>
        </is>
      </c>
      <c r="D12" s="24" t="inlineStr">
        <is>
          <t>No</t>
        </is>
      </c>
      <c r="E12" s="24" t="inlineStr"/>
      <c r="F12" s="25" t="inlineStr"/>
    </row>
    <row r="13" ht="32" customHeight="1">
      <c r="A13" s="24" t="inlineStr">
        <is>
          <t>Network Profiles</t>
        </is>
      </c>
      <c r="B13" s="25" t="inlineStr">
        <is>
          <t>Stable Internet</t>
        </is>
      </c>
      <c r="C13" s="25" t="inlineStr">
        <is>
          <t>Baseline: reliable Wi-Fi with sufficient bandwidth.</t>
        </is>
      </c>
      <c r="D13" s="24" t="inlineStr">
        <is>
          <t>No</t>
        </is>
      </c>
      <c r="E13" s="24" t="inlineStr"/>
      <c r="F13" s="25" t="inlineStr"/>
    </row>
    <row r="14" ht="32" customHeight="1">
      <c r="A14" s="24" t="inlineStr">
        <is>
          <t>Network Profiles</t>
        </is>
      </c>
      <c r="B14" s="25" t="inlineStr">
        <is>
          <t>Offline</t>
        </is>
      </c>
      <c r="C14" s="25" t="inlineStr">
        <is>
          <t>No Wi-Fi and no cellular/backhaul connectivity.</t>
        </is>
      </c>
      <c r="D14" s="24" t="inlineStr">
        <is>
          <t>No</t>
        </is>
      </c>
      <c r="E14" s="24" t="inlineStr"/>
      <c r="F14" s="25" t="inlineStr"/>
    </row>
    <row r="15" ht="32" customHeight="1">
      <c r="A15" s="24" t="inlineStr">
        <is>
          <t>Network Profiles</t>
        </is>
      </c>
      <c r="B15" s="25" t="inlineStr">
        <is>
          <t>Wi-Fi without Internet</t>
        </is>
      </c>
      <c r="C15" s="25" t="inlineStr">
        <is>
          <t>Associated to router, but backend is unreachable.</t>
        </is>
      </c>
      <c r="D15" s="24" t="inlineStr">
        <is>
          <t>No</t>
        </is>
      </c>
      <c r="E15" s="24" t="inlineStr"/>
      <c r="F15" s="25" t="inlineStr"/>
    </row>
    <row r="16" ht="32" customHeight="1">
      <c r="A16" s="24" t="inlineStr">
        <is>
          <t>Network Profiles</t>
        </is>
      </c>
      <c r="B16" s="25" t="inlineStr">
        <is>
          <t>Captive portal</t>
        </is>
      </c>
      <c r="C16" s="25" t="inlineStr">
        <is>
          <t>Wi-Fi requires browser sign-in.</t>
        </is>
      </c>
      <c r="D16" s="24" t="inlineStr">
        <is>
          <t>No</t>
        </is>
      </c>
      <c r="E16" s="24" t="inlineStr"/>
      <c r="F16" s="25" t="inlineStr"/>
    </row>
    <row r="17" ht="32" customHeight="1">
      <c r="A17" s="24" t="inlineStr">
        <is>
          <t>Network Profiles</t>
        </is>
      </c>
      <c r="B17" s="25" t="inlineStr">
        <is>
          <t>Weak/flapping</t>
        </is>
      </c>
      <c r="C17" s="25" t="inlineStr">
        <is>
          <t>Repeated online/offline cycles, high latency, packet loss, or low bandwidth.</t>
        </is>
      </c>
      <c r="D17" s="24" t="inlineStr">
        <is>
          <t>No</t>
        </is>
      </c>
      <c r="E17" s="24" t="inlineStr"/>
      <c r="F17" s="25" t="inlineStr"/>
    </row>
    <row r="18" ht="32" customHeight="1">
      <c r="A18" s="24" t="inlineStr">
        <is>
          <t>Network Profiles</t>
        </is>
      </c>
      <c r="B18" s="25" t="inlineStr">
        <is>
          <t>Network switch</t>
        </is>
      </c>
      <c r="C18" s="25" t="inlineStr">
        <is>
          <t>Move from Wi-Fi A to Wi-Fi B or hotspot during upload.</t>
        </is>
      </c>
      <c r="D18" s="24" t="inlineStr">
        <is>
          <t>No</t>
        </is>
      </c>
      <c r="E18" s="24" t="inlineStr"/>
      <c r="F18" s="25" t="inlineStr"/>
    </row>
    <row r="19" ht="32" customHeight="1">
      <c r="A19" s="24" t="inlineStr">
        <is>
          <t>Audio Assets</t>
        </is>
      </c>
      <c r="B19" s="25" t="inlineStr">
        <is>
          <t>15-second minimum-boundary sample</t>
        </is>
      </c>
      <c r="C19" s="25" t="inlineStr">
        <is>
          <t>One clearly spoken sentence and a unique session label.</t>
        </is>
      </c>
      <c r="D19" s="24" t="inlineStr">
        <is>
          <t>No</t>
        </is>
      </c>
      <c r="E19" s="24" t="inlineStr"/>
      <c r="F19" s="25" t="inlineStr"/>
    </row>
    <row r="20" ht="32" customHeight="1">
      <c r="A20" s="24" t="inlineStr">
        <is>
          <t>Audio Assets</t>
        </is>
      </c>
      <c r="B20" s="25" t="inlineStr">
        <is>
          <t>2-5 minute standard sample</t>
        </is>
      </c>
      <c r="C20" s="25" t="inlineStr">
        <is>
          <t>Beginning and end markers: 'Session &lt;ID&gt; begins now' and 'Session &lt;ID&gt; ends now.'</t>
        </is>
      </c>
      <c r="D20" s="24" t="inlineStr">
        <is>
          <t>No</t>
        </is>
      </c>
      <c r="E20" s="24" t="inlineStr"/>
      <c r="F20" s="25" t="inlineStr"/>
    </row>
    <row r="21" ht="32" customHeight="1">
      <c r="A21" s="24" t="inlineStr">
        <is>
          <t>Audio Assets</t>
        </is>
      </c>
      <c r="B21" s="25" t="inlineStr">
        <is>
          <t>Silent sample</t>
        </is>
      </c>
      <c r="C21" s="25" t="inlineStr">
        <is>
          <t>Room tone only; no intentional speech.</t>
        </is>
      </c>
      <c r="D21" s="24" t="inlineStr">
        <is>
          <t>No</t>
        </is>
      </c>
      <c r="E21" s="24" t="inlineStr"/>
      <c r="F21" s="25" t="inlineStr"/>
    </row>
    <row r="22" ht="32" customHeight="1">
      <c r="A22" s="24" t="inlineStr">
        <is>
          <t>Audio Assets</t>
        </is>
      </c>
      <c r="B22" s="25" t="inlineStr">
        <is>
          <t>Noisy/multi-speaker sample</t>
        </is>
      </c>
      <c r="C22" s="25" t="inlineStr">
        <is>
          <t>Background noise, two speakers, overlap, pauses, and interruptions.</t>
        </is>
      </c>
      <c r="D22" s="24" t="inlineStr">
        <is>
          <t>No</t>
        </is>
      </c>
      <c r="E22" s="24" t="inlineStr"/>
      <c r="F22" s="25" t="inlineStr"/>
    </row>
    <row r="23" ht="32" customHeight="1">
      <c r="A23" s="24" t="inlineStr">
        <is>
          <t>Audio Assets</t>
        </is>
      </c>
      <c r="B23" s="25" t="inlineStr">
        <is>
          <t>30/45/60 minute samples</t>
        </is>
      </c>
      <c r="C23" s="25" t="inlineStr">
        <is>
          <t>Markers every 10 minutes plus beginning/end labels.</t>
        </is>
      </c>
      <c r="D23" s="24" t="inlineStr">
        <is>
          <t>No</t>
        </is>
      </c>
      <c r="E23" s="24" t="inlineStr"/>
      <c r="F23" s="25" t="inlineStr"/>
    </row>
    <row r="24" ht="32" customHeight="1">
      <c r="A24" s="24" t="inlineStr">
        <is>
          <t>Audio Assets</t>
        </is>
      </c>
      <c r="B24" s="25" t="inlineStr">
        <is>
          <t>Special-character transcript</t>
        </is>
      </c>
      <c r="C24" s="25" t="inlineStr">
        <is>
          <t>IPA, apostrophes, hyphens, accented characters, Unicode, speaker labels, and long tokens.</t>
        </is>
      </c>
      <c r="D24" s="24" t="inlineStr">
        <is>
          <t>No</t>
        </is>
      </c>
      <c r="E24" s="24" t="inlineStr"/>
      <c r="F24" s="25" t="inlineStr"/>
    </row>
    <row r="25" ht="32" customHeight="1">
      <c r="A25" s="24" t="inlineStr">
        <is>
          <t>Evidence</t>
        </is>
      </c>
      <c r="B25" s="25" t="inlineStr">
        <is>
          <t>Required for every P0 test</t>
        </is>
      </c>
      <c r="C25" s="25" t="inlineStr">
        <is>
          <t>Session ID, account, device ID, app/firmware version, timestamps, screenshots/video, local/server duration and size, logs/request IDs, transcript screenshot, and PDF when applicable.</t>
        </is>
      </c>
      <c r="D25" s="24" t="inlineStr">
        <is>
          <t>No</t>
        </is>
      </c>
      <c r="E25" s="24" t="inlineStr"/>
      <c r="F25" s="25" t="inlineStr"/>
    </row>
    <row r="26" ht="32" customHeight="1">
      <c r="A26" s="24" t="inlineStr">
        <is>
          <t>Defect severity</t>
        </is>
      </c>
      <c r="B26" s="25" t="inlineStr">
        <is>
          <t>Release blocker</t>
        </is>
      </c>
      <c r="C26" s="25" t="inlineStr">
        <is>
          <t>Any loss, corruption, cross-user exposure, wrong-patient/session association, unrecoverable P0 workflow, duplicate canonical session, or false Completed state.</t>
        </is>
      </c>
      <c r="D26" s="24" t="inlineStr">
        <is>
          <t>No</t>
        </is>
      </c>
      <c r="E26" s="24" t="inlineStr"/>
      <c r="F26" s="25" t="inlineStr"/>
    </row>
  </sheetData>
  <autoFilter ref="A1:F26"/>
  <conditionalFormatting sqref="D2:D26">
    <cfRule type="cellIs" priority="1" operator="equal" dxfId="1">
      <formula>"Yes"</formula>
    </cfRule>
    <cfRule type="cellIs" priority="2" operator="equal" dxfId="6">
      <formula>"No"</formula>
    </cfRule>
  </conditionalFormatting>
  <dataValidations count="1">
    <dataValidation sqref="D2:D26" showDropDown="0" showInputMessage="0" showErrorMessage="0" allowBlank="1" type="list">
      <formula1>"Yes,No,N/A"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2026-07-29T05:54:48Z</dcterms:created>
  <dcterms:modified xsi:type="dcterms:W3CDTF">2026-07-29T20:10:12Z</dcterms:modified>
</cp:coreProperties>
</file>